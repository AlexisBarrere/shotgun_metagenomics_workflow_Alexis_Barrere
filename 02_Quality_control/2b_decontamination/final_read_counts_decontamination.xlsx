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\Documents\Cours\Stage Copenhague 2025\Stage 2025\Décontamination\"/>
    </mc:Choice>
  </mc:AlternateContent>
  <xr:revisionPtr revIDLastSave="0" documentId="13_ncr:1_{BA9F4F0C-AADD-46B8-928F-4AE19BFAC201}" xr6:coauthVersionLast="47" xr6:coauthVersionMax="47" xr10:uidLastSave="{00000000-0000-0000-0000-000000000000}"/>
  <bookViews>
    <workbookView xWindow="-1510" yWindow="1110" windowWidth="24850" windowHeight="13460" xr2:uid="{B7CE5FE7-D793-4122-8235-BA65D38C42DC}"/>
  </bookViews>
  <sheets>
    <sheet name="read_counts_decontamination" sheetId="2" r:id="rId1"/>
    <sheet name="Feuil1" sheetId="1" r:id="rId2"/>
  </sheets>
  <definedNames>
    <definedName name="DonnéesExternes_1" localSheetId="0" hidden="1">'read_counts_decontamination'!$A$1:$G$169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3" i="2"/>
  <c r="H14" i="2"/>
  <c r="H15" i="2"/>
  <c r="H16" i="2"/>
  <c r="H17" i="2"/>
  <c r="H18" i="2"/>
  <c r="H19" i="2"/>
  <c r="H6" i="2"/>
  <c r="H7" i="2"/>
  <c r="H8" i="2"/>
  <c r="H9" i="2"/>
  <c r="H10" i="2"/>
  <c r="H11" i="2"/>
  <c r="H12" i="2"/>
  <c r="H4" i="2"/>
  <c r="H5" i="2"/>
  <c r="H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B8C55D-8214-4B87-9137-A79DA79E3E01}" keepAlive="1" name="Requête - read_counts_decontamination" description="Connexion à la requête « read_counts_decontamination » dans le classeur." type="5" refreshedVersion="8" background="1" saveData="1">
    <dbPr connection="Provider=Microsoft.Mashup.OleDb.1;Data Source=$Workbook$;Location=read_counts_decontamination;Extended Properties=&quot;&quot;" command="SELECT * FROM [read_counts_decontamination]"/>
  </connection>
</connections>
</file>

<file path=xl/sharedStrings.xml><?xml version="1.0" encoding="utf-8"?>
<sst xmlns="http://schemas.openxmlformats.org/spreadsheetml/2006/main" count="345" uniqueCount="39">
  <si>
    <t>Sample</t>
  </si>
  <si>
    <t>Step</t>
  </si>
  <si>
    <t>Read1_paired</t>
  </si>
  <si>
    <t>Read2_paired</t>
  </si>
  <si>
    <t>Read1_unpaired</t>
  </si>
  <si>
    <t>Read2_unpaired</t>
  </si>
  <si>
    <t>TOTAL</t>
  </si>
  <si>
    <t>01</t>
  </si>
  <si>
    <t>Before decontamination</t>
  </si>
  <si>
    <t>No wheat</t>
  </si>
  <si>
    <t>No human</t>
  </si>
  <si>
    <t>No PhiX (fully decontaminated)</t>
  </si>
  <si>
    <t/>
  </si>
  <si>
    <t>------------------------------------------------------------------------------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</si>
  <si>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</si>
  <si>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</si>
  <si>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</si>
  <si>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</si>
  <si>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</si>
  <si>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</si>
  <si>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</si>
  <si>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</si>
  <si>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</si>
  <si>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</si>
  <si>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</si>
  <si>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</si>
  <si>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</si>
  <si>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</si>
  <si>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</si>
  <si>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</si>
  <si>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</si>
  <si>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</si>
  <si>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</si>
  <si>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</si>
  <si>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</si>
  <si>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</si>
  <si>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</si>
  <si>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pourcentage reads perdus</t>
  </si>
  <si>
    <t>nombre de reads perdus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</si>
</sst>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%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10" fontId="0" fillId="0" borderId="0" xfId="0" applyNumberFormat="1"/>
    <xf numFmtId="164" fontId="0" fillId="0" borderId="0" xfId="0" applyNumberFormat="1"/>
    <xf numFmtId="3" fontId="0" fillId="0" borderId="0" xfId="0" applyNumberFormat="1"/>
    <xf numFmtId="3" fontId="0" fillId="2" borderId="0" xfId="0" applyNumberFormat="1" applyFill="1"/>
    <xf numFmtId="3" fontId="0" fillId="3" borderId="0" xfId="0" applyNumberFormat="1" applyFill="1"/>
  </cellXfs>
  <cellStyles count="1">
    <cellStyle name="Normal" xfId="0" builtinId="0"/>
  </cellStyles>
  <dxfs count="9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C668AD4-9BA0-41C3-AFDF-A4FE0F467DD2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Sample" tableColumnId="1"/>
      <queryTableField id="2" name="Step" tableColumnId="2"/>
      <queryTableField id="3" name="Read1_paired" tableColumnId="3"/>
      <queryTableField id="4" name="Read2_paired" tableColumnId="4"/>
      <queryTableField id="5" name="Read1_unpaired" tableColumnId="5"/>
      <queryTableField id="6" name="Read2_unpaired" tableColumnId="6"/>
      <queryTableField id="7" name="TOTAL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D907E-B764-4B68-A004-E8AC11E3B396}" name="read_counts_decontamination" displayName="read_counts_decontamination" ref="A1:I169" tableType="queryTable" totalsRowShown="0">
  <autoFilter ref="A1:I169" xr:uid="{3BED907E-B764-4B68-A004-E8AC11E3B396}"/>
  <tableColumns count="9">
    <tableColumn id="1" xr3:uid="{4B739175-4DAA-4EC1-A481-84E9A1EBD841}" uniqueName="1" name="Sample" queryTableFieldId="1" dataDxfId="8"/>
    <tableColumn id="2" xr3:uid="{5D2F3ECB-1A44-4F8F-8B2F-9179EE43EF05}" uniqueName="2" name="Step" queryTableFieldId="2" dataDxfId="7"/>
    <tableColumn id="3" xr3:uid="{83800ECC-9E3C-45A2-A700-FC0C2A6F1349}" uniqueName="3" name="Read1_paired" queryTableFieldId="3" dataDxfId="5"/>
    <tableColumn id="4" xr3:uid="{3C33554F-F8F9-4507-BFC0-9319ECFA63BA}" uniqueName="4" name="Read2_paired" queryTableFieldId="4" dataDxfId="4"/>
    <tableColumn id="5" xr3:uid="{2A21FFC4-3CD9-4A35-A9F1-30DEBAA75AD9}" uniqueName="5" name="Read1_unpaired" queryTableFieldId="5" dataDxfId="3"/>
    <tableColumn id="6" xr3:uid="{CCC877A6-F3A8-43EE-B7AD-DE5D0D963E9F}" uniqueName="6" name="Read2_unpaired" queryTableFieldId="6" dataDxfId="2"/>
    <tableColumn id="7" xr3:uid="{61EE4E0C-A4B8-4F65-A520-0888CA23692B}" uniqueName="7" name="TOTAL" queryTableFieldId="7" dataDxfId="1"/>
    <tableColumn id="8" xr3:uid="{79D44802-018C-4307-9A58-566758D831AA}" uniqueName="8" name="pourcentage reads perdus" queryTableFieldId="8" dataDxfId="6"/>
    <tableColumn id="9" xr3:uid="{23066422-614A-45F5-ACAE-A914A8A3FE8F}" uniqueName="9" name="nombre de reads perdus" queryTableFieldId="9" dataDxfId="0">
      <calculatedColumnFormula>IF(A2=A1,G1-G2,"")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75E91-95D9-4FA4-A620-321071F3F327}">
  <dimension ref="A1:I169"/>
  <sheetViews>
    <sheetView tabSelected="1" workbookViewId="0">
      <selection activeCell="J4" sqref="J4"/>
    </sheetView>
  </sheetViews>
  <sheetFormatPr baseColWidth="10" defaultRowHeight="14.5" x14ac:dyDescent="0.35"/>
  <cols>
    <col min="1" max="1" width="51.08984375" bestFit="1" customWidth="1"/>
    <col min="2" max="2" width="25.7265625" bestFit="1" customWidth="1"/>
    <col min="3" max="4" width="14.6328125" style="5" bestFit="1" customWidth="1"/>
    <col min="5" max="6" width="16.81640625" style="5" bestFit="1" customWidth="1"/>
    <col min="7" max="7" width="10.54296875" style="5" bestFit="1" customWidth="1"/>
    <col min="8" max="8" width="22.6328125" style="3" customWidth="1"/>
    <col min="9" max="9" width="21.81640625" style="5" customWidth="1"/>
  </cols>
  <sheetData>
    <row r="1" spans="1:9" x14ac:dyDescent="0.35">
      <c r="A1" t="s">
        <v>0</v>
      </c>
      <c r="B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37</v>
      </c>
      <c r="I1" s="5" t="s">
        <v>38</v>
      </c>
    </row>
    <row r="2" spans="1:9" x14ac:dyDescent="0.35">
      <c r="A2" s="1" t="s">
        <v>7</v>
      </c>
      <c r="B2" s="1" t="s">
        <v>8</v>
      </c>
      <c r="C2" s="6">
        <v>66068513</v>
      </c>
      <c r="D2" s="6">
        <v>66068513</v>
      </c>
      <c r="E2" s="6">
        <v>3623046</v>
      </c>
      <c r="F2" s="6">
        <v>631825</v>
      </c>
      <c r="G2" s="6">
        <v>136391897</v>
      </c>
      <c r="I2" s="5" t="str">
        <f t="shared" ref="I2:I33" si="0">IF(A2=A1,G1-G2,"")</f>
        <v/>
      </c>
    </row>
    <row r="3" spans="1:9" x14ac:dyDescent="0.35">
      <c r="A3" s="2" t="s">
        <v>7</v>
      </c>
      <c r="B3" s="2" t="s">
        <v>9</v>
      </c>
      <c r="C3" s="7">
        <v>60774960</v>
      </c>
      <c r="D3" s="7">
        <v>60774960</v>
      </c>
      <c r="E3" s="7">
        <v>3463061</v>
      </c>
      <c r="F3" s="7">
        <v>566119</v>
      </c>
      <c r="G3" s="7">
        <v>125579100</v>
      </c>
      <c r="H3" s="3">
        <f>IF(A3=A2,(G2-G3)/G2,"")</f>
        <v>7.9277414845252872E-2</v>
      </c>
      <c r="I3" s="5">
        <f t="shared" si="0"/>
        <v>10812797</v>
      </c>
    </row>
    <row r="4" spans="1:9" x14ac:dyDescent="0.35">
      <c r="A4" s="1" t="s">
        <v>7</v>
      </c>
      <c r="B4" s="1" t="s">
        <v>10</v>
      </c>
      <c r="C4" s="6">
        <v>60770178</v>
      </c>
      <c r="D4" s="6">
        <v>60770178</v>
      </c>
      <c r="E4" s="6">
        <v>3462624</v>
      </c>
      <c r="F4" s="6">
        <v>565824</v>
      </c>
      <c r="G4" s="6">
        <v>125568804</v>
      </c>
      <c r="H4" s="3">
        <f t="shared" ref="H4:H67" si="1">IF(A4=A3,(G3-G4)/G3,"")</f>
        <v>8.1988165228131119E-5</v>
      </c>
      <c r="I4" s="5">
        <f t="shared" si="0"/>
        <v>10296</v>
      </c>
    </row>
    <row r="5" spans="1:9" x14ac:dyDescent="0.35">
      <c r="A5" s="2" t="s">
        <v>7</v>
      </c>
      <c r="B5" s="2" t="s">
        <v>11</v>
      </c>
      <c r="C5" s="7">
        <v>60770178</v>
      </c>
      <c r="D5" s="7">
        <v>60770178</v>
      </c>
      <c r="E5" s="7">
        <v>3462624</v>
      </c>
      <c r="F5" s="7">
        <v>565824</v>
      </c>
      <c r="G5" s="7">
        <v>125568804</v>
      </c>
      <c r="H5" s="3">
        <f t="shared" si="1"/>
        <v>0</v>
      </c>
      <c r="I5" s="5">
        <f t="shared" si="0"/>
        <v>0</v>
      </c>
    </row>
    <row r="6" spans="1:9" x14ac:dyDescent="0.35">
      <c r="A6" t="s">
        <v>12</v>
      </c>
      <c r="B6" t="s">
        <v>12</v>
      </c>
      <c r="H6" s="3" t="str">
        <f t="shared" si="1"/>
        <v/>
      </c>
      <c r="I6" s="5" t="str">
        <f t="shared" si="0"/>
        <v/>
      </c>
    </row>
    <row r="7" spans="1:9" x14ac:dyDescent="0.35">
      <c r="A7" t="s">
        <v>13</v>
      </c>
      <c r="B7" t="s">
        <v>12</v>
      </c>
      <c r="H7" s="3" t="str">
        <f t="shared" si="1"/>
        <v/>
      </c>
      <c r="I7" s="5" t="str">
        <f t="shared" si="0"/>
        <v/>
      </c>
    </row>
    <row r="8" spans="1:9" x14ac:dyDescent="0.35">
      <c r="A8" t="s">
        <v>12</v>
      </c>
      <c r="B8" t="s">
        <v>12</v>
      </c>
      <c r="H8" s="3" t="str">
        <f t="shared" si="1"/>
        <v/>
      </c>
      <c r="I8" s="5" t="str">
        <f t="shared" si="0"/>
        <v/>
      </c>
    </row>
    <row r="9" spans="1:9" x14ac:dyDescent="0.35">
      <c r="A9" s="1" t="s">
        <v>14</v>
      </c>
      <c r="B9" s="1" t="s">
        <v>8</v>
      </c>
      <c r="C9" s="6">
        <v>36039205</v>
      </c>
      <c r="D9" s="6">
        <v>36039205</v>
      </c>
      <c r="E9" s="6">
        <v>917446</v>
      </c>
      <c r="F9" s="6">
        <v>540185</v>
      </c>
      <c r="G9" s="6">
        <v>73536041</v>
      </c>
      <c r="H9" s="3" t="str">
        <f t="shared" si="1"/>
        <v/>
      </c>
      <c r="I9" s="5" t="str">
        <f t="shared" si="0"/>
        <v/>
      </c>
    </row>
    <row r="10" spans="1:9" x14ac:dyDescent="0.35">
      <c r="A10" s="2" t="s">
        <v>14</v>
      </c>
      <c r="B10" s="2" t="s">
        <v>9</v>
      </c>
      <c r="C10" s="7">
        <v>35129144</v>
      </c>
      <c r="D10" s="7">
        <v>35129144</v>
      </c>
      <c r="E10" s="7">
        <v>899020</v>
      </c>
      <c r="F10" s="7">
        <v>521440</v>
      </c>
      <c r="G10" s="7">
        <v>71678748</v>
      </c>
      <c r="H10" s="3">
        <f t="shared" si="1"/>
        <v>2.5256907697818545E-2</v>
      </c>
      <c r="I10" s="5">
        <f t="shared" si="0"/>
        <v>1857293</v>
      </c>
    </row>
    <row r="11" spans="1:9" x14ac:dyDescent="0.35">
      <c r="A11" s="1" t="s">
        <v>14</v>
      </c>
      <c r="B11" s="1" t="s">
        <v>10</v>
      </c>
      <c r="C11" s="6">
        <v>35127097</v>
      </c>
      <c r="D11" s="6">
        <v>35127097</v>
      </c>
      <c r="E11" s="6">
        <v>898836</v>
      </c>
      <c r="F11" s="6">
        <v>521287</v>
      </c>
      <c r="G11" s="6">
        <v>71674317</v>
      </c>
      <c r="H11" s="3">
        <f t="shared" si="1"/>
        <v>6.1817485986222857E-5</v>
      </c>
      <c r="I11" s="5">
        <f t="shared" si="0"/>
        <v>4431</v>
      </c>
    </row>
    <row r="12" spans="1:9" x14ac:dyDescent="0.35">
      <c r="A12" s="2" t="s">
        <v>14</v>
      </c>
      <c r="B12" s="2" t="s">
        <v>11</v>
      </c>
      <c r="C12" s="7">
        <v>35127097</v>
      </c>
      <c r="D12" s="7">
        <v>35127097</v>
      </c>
      <c r="E12" s="7">
        <v>898836</v>
      </c>
      <c r="F12" s="7">
        <v>521287</v>
      </c>
      <c r="G12" s="7">
        <v>71674317</v>
      </c>
      <c r="H12" s="3">
        <f t="shared" si="1"/>
        <v>0</v>
      </c>
      <c r="I12" s="5">
        <f t="shared" si="0"/>
        <v>0</v>
      </c>
    </row>
    <row r="13" spans="1:9" x14ac:dyDescent="0.35">
      <c r="A13" t="s">
        <v>12</v>
      </c>
      <c r="B13" t="s">
        <v>12</v>
      </c>
      <c r="H13" s="3" t="str">
        <f t="shared" si="1"/>
        <v/>
      </c>
      <c r="I13" s="5" t="str">
        <f t="shared" si="0"/>
        <v/>
      </c>
    </row>
    <row r="14" spans="1:9" x14ac:dyDescent="0.35">
      <c r="A14" t="s">
        <v>13</v>
      </c>
      <c r="B14" t="s">
        <v>12</v>
      </c>
      <c r="H14" s="3" t="str">
        <f t="shared" si="1"/>
        <v/>
      </c>
      <c r="I14" s="5" t="str">
        <f t="shared" si="0"/>
        <v/>
      </c>
    </row>
    <row r="15" spans="1:9" x14ac:dyDescent="0.35">
      <c r="A15" t="s">
        <v>12</v>
      </c>
      <c r="B15" t="s">
        <v>12</v>
      </c>
      <c r="H15" s="3" t="str">
        <f t="shared" si="1"/>
        <v/>
      </c>
      <c r="I15" s="5" t="str">
        <f t="shared" si="0"/>
        <v/>
      </c>
    </row>
    <row r="16" spans="1:9" x14ac:dyDescent="0.35">
      <c r="A16" s="1" t="s">
        <v>15</v>
      </c>
      <c r="B16" s="1" t="s">
        <v>8</v>
      </c>
      <c r="C16" s="6">
        <v>27268061</v>
      </c>
      <c r="D16" s="6">
        <v>27268061</v>
      </c>
      <c r="E16" s="6">
        <v>512467</v>
      </c>
      <c r="F16" s="6">
        <v>465607</v>
      </c>
      <c r="G16" s="6">
        <v>55514196</v>
      </c>
      <c r="H16" s="3" t="str">
        <f t="shared" si="1"/>
        <v/>
      </c>
      <c r="I16" s="5" t="str">
        <f t="shared" si="0"/>
        <v/>
      </c>
    </row>
    <row r="17" spans="1:9" x14ac:dyDescent="0.35">
      <c r="A17" s="2" t="s">
        <v>15</v>
      </c>
      <c r="B17" s="2" t="s">
        <v>9</v>
      </c>
      <c r="C17" s="7">
        <v>25631234</v>
      </c>
      <c r="D17" s="7">
        <v>25631234</v>
      </c>
      <c r="E17" s="7">
        <v>489688</v>
      </c>
      <c r="F17" s="7">
        <v>431674</v>
      </c>
      <c r="G17" s="7">
        <v>52183830</v>
      </c>
      <c r="H17" s="3">
        <f t="shared" si="1"/>
        <v>5.9991249805725365E-2</v>
      </c>
      <c r="I17" s="5">
        <f t="shared" si="0"/>
        <v>3330366</v>
      </c>
    </row>
    <row r="18" spans="1:9" x14ac:dyDescent="0.35">
      <c r="A18" s="1" t="s">
        <v>15</v>
      </c>
      <c r="B18" s="1" t="s">
        <v>10</v>
      </c>
      <c r="C18" s="6">
        <v>25629701</v>
      </c>
      <c r="D18" s="6">
        <v>25629701</v>
      </c>
      <c r="E18" s="6">
        <v>489564</v>
      </c>
      <c r="F18" s="6">
        <v>431529</v>
      </c>
      <c r="G18" s="6">
        <v>52180495</v>
      </c>
      <c r="H18" s="3">
        <f t="shared" si="1"/>
        <v>6.3908685889862822E-5</v>
      </c>
      <c r="I18" s="5">
        <f t="shared" si="0"/>
        <v>3335</v>
      </c>
    </row>
    <row r="19" spans="1:9" x14ac:dyDescent="0.35">
      <c r="A19" s="2" t="s">
        <v>15</v>
      </c>
      <c r="B19" s="2" t="s">
        <v>11</v>
      </c>
      <c r="C19" s="7">
        <v>25629701</v>
      </c>
      <c r="D19" s="7">
        <v>25629701</v>
      </c>
      <c r="E19" s="7">
        <v>489563</v>
      </c>
      <c r="F19" s="7">
        <v>431529</v>
      </c>
      <c r="G19" s="7">
        <v>52180494</v>
      </c>
      <c r="H19" s="4">
        <f t="shared" si="1"/>
        <v>1.9164249016802158E-8</v>
      </c>
      <c r="I19" s="5">
        <f t="shared" si="0"/>
        <v>1</v>
      </c>
    </row>
    <row r="20" spans="1:9" x14ac:dyDescent="0.35">
      <c r="A20" t="s">
        <v>12</v>
      </c>
      <c r="B20" t="s">
        <v>12</v>
      </c>
      <c r="H20" s="3" t="str">
        <f t="shared" si="1"/>
        <v/>
      </c>
      <c r="I20" s="5" t="str">
        <f t="shared" si="0"/>
        <v/>
      </c>
    </row>
    <row r="21" spans="1:9" x14ac:dyDescent="0.35">
      <c r="A21" t="s">
        <v>13</v>
      </c>
      <c r="B21" t="s">
        <v>12</v>
      </c>
      <c r="H21" s="3" t="str">
        <f t="shared" si="1"/>
        <v/>
      </c>
      <c r="I21" s="5" t="str">
        <f t="shared" si="0"/>
        <v/>
      </c>
    </row>
    <row r="22" spans="1:9" x14ac:dyDescent="0.35">
      <c r="A22" t="s">
        <v>12</v>
      </c>
      <c r="B22" t="s">
        <v>12</v>
      </c>
      <c r="H22" s="3" t="str">
        <f t="shared" si="1"/>
        <v/>
      </c>
      <c r="I22" s="5" t="str">
        <f t="shared" si="0"/>
        <v/>
      </c>
    </row>
    <row r="23" spans="1:9" x14ac:dyDescent="0.35">
      <c r="A23" s="1" t="s">
        <v>16</v>
      </c>
      <c r="B23" s="1" t="s">
        <v>8</v>
      </c>
      <c r="C23" s="6">
        <v>34388159</v>
      </c>
      <c r="D23" s="6">
        <v>34388159</v>
      </c>
      <c r="E23" s="6">
        <v>712610</v>
      </c>
      <c r="F23" s="6">
        <v>468831</v>
      </c>
      <c r="G23" s="6">
        <v>69957759</v>
      </c>
      <c r="H23" s="3" t="str">
        <f t="shared" si="1"/>
        <v/>
      </c>
      <c r="I23" s="5" t="str">
        <f t="shared" si="0"/>
        <v/>
      </c>
    </row>
    <row r="24" spans="1:9" x14ac:dyDescent="0.35">
      <c r="A24" s="2" t="s">
        <v>16</v>
      </c>
      <c r="B24" s="2" t="s">
        <v>9</v>
      </c>
      <c r="C24" s="7">
        <v>32680331</v>
      </c>
      <c r="D24" s="7">
        <v>32680331</v>
      </c>
      <c r="E24" s="7">
        <v>684041</v>
      </c>
      <c r="F24" s="7">
        <v>438883</v>
      </c>
      <c r="G24" s="7">
        <v>66483586</v>
      </c>
      <c r="H24" s="3">
        <f t="shared" si="1"/>
        <v>4.9661010439170872E-2</v>
      </c>
      <c r="I24" s="5">
        <f t="shared" si="0"/>
        <v>3474173</v>
      </c>
    </row>
    <row r="25" spans="1:9" x14ac:dyDescent="0.35">
      <c r="A25" s="1" t="s">
        <v>16</v>
      </c>
      <c r="B25" s="1" t="s">
        <v>10</v>
      </c>
      <c r="C25" s="6">
        <v>32678001</v>
      </c>
      <c r="D25" s="6">
        <v>32678001</v>
      </c>
      <c r="E25" s="6">
        <v>683853</v>
      </c>
      <c r="F25" s="6">
        <v>438755</v>
      </c>
      <c r="G25" s="6">
        <v>66478610</v>
      </c>
      <c r="H25" s="3">
        <f t="shared" si="1"/>
        <v>7.4845541574727927E-5</v>
      </c>
      <c r="I25" s="5">
        <f t="shared" si="0"/>
        <v>4976</v>
      </c>
    </row>
    <row r="26" spans="1:9" x14ac:dyDescent="0.35">
      <c r="A26" s="2" t="s">
        <v>16</v>
      </c>
      <c r="B26" s="2" t="s">
        <v>11</v>
      </c>
      <c r="C26" s="7">
        <v>32678001</v>
      </c>
      <c r="D26" s="7">
        <v>32678001</v>
      </c>
      <c r="E26" s="7">
        <v>683853</v>
      </c>
      <c r="F26" s="7">
        <v>438755</v>
      </c>
      <c r="G26" s="7">
        <v>66478610</v>
      </c>
      <c r="H26" s="3">
        <f t="shared" si="1"/>
        <v>0</v>
      </c>
      <c r="I26" s="5">
        <f t="shared" si="0"/>
        <v>0</v>
      </c>
    </row>
    <row r="27" spans="1:9" x14ac:dyDescent="0.35">
      <c r="A27" t="s">
        <v>12</v>
      </c>
      <c r="B27" t="s">
        <v>12</v>
      </c>
      <c r="H27" s="3" t="str">
        <f t="shared" si="1"/>
        <v/>
      </c>
      <c r="I27" s="5" t="str">
        <f t="shared" si="0"/>
        <v/>
      </c>
    </row>
    <row r="28" spans="1:9" x14ac:dyDescent="0.35">
      <c r="A28" t="s">
        <v>13</v>
      </c>
      <c r="B28" t="s">
        <v>12</v>
      </c>
      <c r="H28" s="3" t="str">
        <f t="shared" si="1"/>
        <v/>
      </c>
      <c r="I28" s="5" t="str">
        <f t="shared" si="0"/>
        <v/>
      </c>
    </row>
    <row r="29" spans="1:9" x14ac:dyDescent="0.35">
      <c r="A29" t="s">
        <v>12</v>
      </c>
      <c r="B29" t="s">
        <v>12</v>
      </c>
      <c r="H29" s="3" t="str">
        <f t="shared" si="1"/>
        <v/>
      </c>
      <c r="I29" s="5" t="str">
        <f t="shared" si="0"/>
        <v/>
      </c>
    </row>
    <row r="30" spans="1:9" x14ac:dyDescent="0.35">
      <c r="A30" s="1" t="s">
        <v>17</v>
      </c>
      <c r="B30" s="1" t="s">
        <v>8</v>
      </c>
      <c r="C30" s="6">
        <v>25703521</v>
      </c>
      <c r="D30" s="6">
        <v>25703521</v>
      </c>
      <c r="E30" s="6">
        <v>518593</v>
      </c>
      <c r="F30" s="6">
        <v>349517</v>
      </c>
      <c r="G30" s="6">
        <v>52275152</v>
      </c>
      <c r="H30" s="3" t="str">
        <f t="shared" si="1"/>
        <v/>
      </c>
      <c r="I30" s="5" t="str">
        <f t="shared" si="0"/>
        <v/>
      </c>
    </row>
    <row r="31" spans="1:9" x14ac:dyDescent="0.35">
      <c r="A31" s="2" t="s">
        <v>17</v>
      </c>
      <c r="B31" s="2" t="s">
        <v>9</v>
      </c>
      <c r="C31" s="7">
        <v>22941725</v>
      </c>
      <c r="D31" s="7">
        <v>22941725</v>
      </c>
      <c r="E31" s="7">
        <v>475996</v>
      </c>
      <c r="F31" s="7">
        <v>302208</v>
      </c>
      <c r="G31" s="7">
        <v>46661654</v>
      </c>
      <c r="H31" s="3">
        <f t="shared" si="1"/>
        <v>0.10738367628275859</v>
      </c>
      <c r="I31" s="5">
        <f t="shared" si="0"/>
        <v>5613498</v>
      </c>
    </row>
    <row r="32" spans="1:9" x14ac:dyDescent="0.35">
      <c r="A32" s="1" t="s">
        <v>17</v>
      </c>
      <c r="B32" s="1" t="s">
        <v>10</v>
      </c>
      <c r="C32" s="6">
        <v>22939307</v>
      </c>
      <c r="D32" s="6">
        <v>22939307</v>
      </c>
      <c r="E32" s="6">
        <v>475838</v>
      </c>
      <c r="F32" s="6">
        <v>302075</v>
      </c>
      <c r="G32" s="6">
        <v>46656527</v>
      </c>
      <c r="H32" s="3">
        <f t="shared" si="1"/>
        <v>1.0987608797579271E-4</v>
      </c>
      <c r="I32" s="5">
        <f t="shared" si="0"/>
        <v>5127</v>
      </c>
    </row>
    <row r="33" spans="1:9" x14ac:dyDescent="0.35">
      <c r="A33" s="2" t="s">
        <v>17</v>
      </c>
      <c r="B33" s="2" t="s">
        <v>11</v>
      </c>
      <c r="C33" s="7">
        <v>22939307</v>
      </c>
      <c r="D33" s="7">
        <v>22939307</v>
      </c>
      <c r="E33" s="7">
        <v>475838</v>
      </c>
      <c r="F33" s="7">
        <v>302075</v>
      </c>
      <c r="G33" s="7">
        <v>46656527</v>
      </c>
      <c r="H33" s="3">
        <f t="shared" si="1"/>
        <v>0</v>
      </c>
      <c r="I33" s="5">
        <f t="shared" si="0"/>
        <v>0</v>
      </c>
    </row>
    <row r="34" spans="1:9" x14ac:dyDescent="0.35">
      <c r="A34" t="s">
        <v>12</v>
      </c>
      <c r="B34" t="s">
        <v>12</v>
      </c>
      <c r="H34" s="3" t="str">
        <f t="shared" si="1"/>
        <v/>
      </c>
      <c r="I34" s="5" t="str">
        <f t="shared" ref="I34:I65" si="2">IF(A34=A33,G33-G34,"")</f>
        <v/>
      </c>
    </row>
    <row r="35" spans="1:9" x14ac:dyDescent="0.35">
      <c r="A35" t="s">
        <v>13</v>
      </c>
      <c r="B35" t="s">
        <v>12</v>
      </c>
      <c r="H35" s="3" t="str">
        <f t="shared" si="1"/>
        <v/>
      </c>
      <c r="I35" s="5" t="str">
        <f t="shared" si="2"/>
        <v/>
      </c>
    </row>
    <row r="36" spans="1:9" x14ac:dyDescent="0.35">
      <c r="A36" t="s">
        <v>12</v>
      </c>
      <c r="B36" t="s">
        <v>12</v>
      </c>
      <c r="H36" s="3" t="str">
        <f t="shared" si="1"/>
        <v/>
      </c>
      <c r="I36" s="5" t="str">
        <f t="shared" si="2"/>
        <v/>
      </c>
    </row>
    <row r="37" spans="1:9" x14ac:dyDescent="0.35">
      <c r="A37" s="1" t="s">
        <v>18</v>
      </c>
      <c r="B37" s="1" t="s">
        <v>8</v>
      </c>
      <c r="C37" s="6">
        <v>25367555</v>
      </c>
      <c r="D37" s="6">
        <v>25367555</v>
      </c>
      <c r="E37" s="6">
        <v>540414</v>
      </c>
      <c r="F37" s="6">
        <v>323309</v>
      </c>
      <c r="G37" s="6">
        <v>51598833</v>
      </c>
      <c r="H37" s="3" t="str">
        <f t="shared" si="1"/>
        <v/>
      </c>
      <c r="I37" s="5" t="str">
        <f t="shared" si="2"/>
        <v/>
      </c>
    </row>
    <row r="38" spans="1:9" x14ac:dyDescent="0.35">
      <c r="A38" s="2" t="s">
        <v>18</v>
      </c>
      <c r="B38" s="2" t="s">
        <v>9</v>
      </c>
      <c r="C38" s="7">
        <v>24111157</v>
      </c>
      <c r="D38" s="7">
        <v>24111157</v>
      </c>
      <c r="E38" s="7">
        <v>521150</v>
      </c>
      <c r="F38" s="7">
        <v>303104</v>
      </c>
      <c r="G38" s="7">
        <v>49046568</v>
      </c>
      <c r="H38" s="3">
        <f t="shared" si="1"/>
        <v>4.9463618683003932E-2</v>
      </c>
      <c r="I38" s="5">
        <f t="shared" si="2"/>
        <v>2552265</v>
      </c>
    </row>
    <row r="39" spans="1:9" x14ac:dyDescent="0.35">
      <c r="A39" s="1" t="s">
        <v>18</v>
      </c>
      <c r="B39" s="1" t="s">
        <v>10</v>
      </c>
      <c r="C39" s="6">
        <v>24109351</v>
      </c>
      <c r="D39" s="6">
        <v>24109351</v>
      </c>
      <c r="E39" s="6">
        <v>521052</v>
      </c>
      <c r="F39" s="6">
        <v>303013</v>
      </c>
      <c r="G39" s="6">
        <v>49042767</v>
      </c>
      <c r="H39" s="3">
        <f t="shared" si="1"/>
        <v>7.7497777214503578E-5</v>
      </c>
      <c r="I39" s="5">
        <f t="shared" si="2"/>
        <v>3801</v>
      </c>
    </row>
    <row r="40" spans="1:9" x14ac:dyDescent="0.35">
      <c r="A40" s="2" t="s">
        <v>18</v>
      </c>
      <c r="B40" s="2" t="s">
        <v>11</v>
      </c>
      <c r="C40" s="7">
        <v>24109351</v>
      </c>
      <c r="D40" s="7">
        <v>24109351</v>
      </c>
      <c r="E40" s="7">
        <v>521052</v>
      </c>
      <c r="F40" s="7">
        <v>303013</v>
      </c>
      <c r="G40" s="7">
        <v>49042767</v>
      </c>
      <c r="H40" s="3">
        <f t="shared" si="1"/>
        <v>0</v>
      </c>
      <c r="I40" s="5">
        <f t="shared" si="2"/>
        <v>0</v>
      </c>
    </row>
    <row r="41" spans="1:9" x14ac:dyDescent="0.35">
      <c r="A41" t="s">
        <v>12</v>
      </c>
      <c r="B41" t="s">
        <v>12</v>
      </c>
      <c r="H41" s="3" t="str">
        <f t="shared" si="1"/>
        <v/>
      </c>
      <c r="I41" s="5" t="str">
        <f t="shared" si="2"/>
        <v/>
      </c>
    </row>
    <row r="42" spans="1:9" x14ac:dyDescent="0.35">
      <c r="A42" t="s">
        <v>13</v>
      </c>
      <c r="B42" t="s">
        <v>12</v>
      </c>
      <c r="H42" s="3" t="str">
        <f t="shared" si="1"/>
        <v/>
      </c>
      <c r="I42" s="5" t="str">
        <f t="shared" si="2"/>
        <v/>
      </c>
    </row>
    <row r="43" spans="1:9" x14ac:dyDescent="0.35">
      <c r="A43" t="s">
        <v>12</v>
      </c>
      <c r="B43" t="s">
        <v>12</v>
      </c>
      <c r="H43" s="3" t="str">
        <f t="shared" si="1"/>
        <v/>
      </c>
      <c r="I43" s="5" t="str">
        <f t="shared" si="2"/>
        <v/>
      </c>
    </row>
    <row r="44" spans="1:9" x14ac:dyDescent="0.35">
      <c r="A44" s="1" t="s">
        <v>19</v>
      </c>
      <c r="B44" s="1" t="s">
        <v>8</v>
      </c>
      <c r="C44" s="6">
        <v>15728107</v>
      </c>
      <c r="D44" s="6">
        <v>15728107</v>
      </c>
      <c r="E44" s="6">
        <v>331875</v>
      </c>
      <c r="F44" s="6">
        <v>214438</v>
      </c>
      <c r="G44" s="6">
        <v>32002527</v>
      </c>
      <c r="H44" s="3" t="str">
        <f t="shared" si="1"/>
        <v/>
      </c>
      <c r="I44" s="5" t="str">
        <f t="shared" si="2"/>
        <v/>
      </c>
    </row>
    <row r="45" spans="1:9" x14ac:dyDescent="0.35">
      <c r="A45" s="2" t="s">
        <v>19</v>
      </c>
      <c r="B45" s="2" t="s">
        <v>9</v>
      </c>
      <c r="C45" s="7">
        <v>14607065</v>
      </c>
      <c r="D45" s="7">
        <v>14607065</v>
      </c>
      <c r="E45" s="7">
        <v>313467</v>
      </c>
      <c r="F45" s="7">
        <v>195192</v>
      </c>
      <c r="G45" s="7">
        <v>29722789</v>
      </c>
      <c r="H45" s="3">
        <f t="shared" si="1"/>
        <v>7.1236187067352519E-2</v>
      </c>
      <c r="I45" s="5">
        <f t="shared" si="2"/>
        <v>2279738</v>
      </c>
    </row>
    <row r="46" spans="1:9" x14ac:dyDescent="0.35">
      <c r="A46" s="1" t="s">
        <v>19</v>
      </c>
      <c r="B46" s="1" t="s">
        <v>10</v>
      </c>
      <c r="C46" s="6">
        <v>14605678</v>
      </c>
      <c r="D46" s="6">
        <v>14605678</v>
      </c>
      <c r="E46" s="6">
        <v>313373</v>
      </c>
      <c r="F46" s="6">
        <v>195104</v>
      </c>
      <c r="G46" s="6">
        <v>29719833</v>
      </c>
      <c r="H46" s="3">
        <f t="shared" si="1"/>
        <v>9.9452309135592893E-5</v>
      </c>
      <c r="I46" s="5">
        <f t="shared" si="2"/>
        <v>2956</v>
      </c>
    </row>
    <row r="47" spans="1:9" x14ac:dyDescent="0.35">
      <c r="A47" s="2" t="s">
        <v>19</v>
      </c>
      <c r="B47" s="2" t="s">
        <v>11</v>
      </c>
      <c r="C47" s="7">
        <v>14605678</v>
      </c>
      <c r="D47" s="7">
        <v>14605678</v>
      </c>
      <c r="E47" s="7">
        <v>313373</v>
      </c>
      <c r="F47" s="7">
        <v>195104</v>
      </c>
      <c r="G47" s="7">
        <v>29719833</v>
      </c>
      <c r="H47" s="3">
        <f t="shared" si="1"/>
        <v>0</v>
      </c>
      <c r="I47" s="5">
        <f t="shared" si="2"/>
        <v>0</v>
      </c>
    </row>
    <row r="48" spans="1:9" x14ac:dyDescent="0.35">
      <c r="A48" t="s">
        <v>12</v>
      </c>
      <c r="B48" t="s">
        <v>12</v>
      </c>
      <c r="H48" s="3" t="str">
        <f t="shared" si="1"/>
        <v/>
      </c>
      <c r="I48" s="5" t="str">
        <f t="shared" si="2"/>
        <v/>
      </c>
    </row>
    <row r="49" spans="1:9" x14ac:dyDescent="0.35">
      <c r="A49" t="s">
        <v>13</v>
      </c>
      <c r="B49" t="s">
        <v>12</v>
      </c>
      <c r="H49" s="3" t="str">
        <f t="shared" si="1"/>
        <v/>
      </c>
      <c r="I49" s="5" t="str">
        <f t="shared" si="2"/>
        <v/>
      </c>
    </row>
    <row r="50" spans="1:9" x14ac:dyDescent="0.35">
      <c r="A50" t="s">
        <v>12</v>
      </c>
      <c r="B50" t="s">
        <v>12</v>
      </c>
      <c r="H50" s="3" t="str">
        <f t="shared" si="1"/>
        <v/>
      </c>
      <c r="I50" s="5" t="str">
        <f t="shared" si="2"/>
        <v/>
      </c>
    </row>
    <row r="51" spans="1:9" x14ac:dyDescent="0.35">
      <c r="A51" s="1" t="s">
        <v>20</v>
      </c>
      <c r="B51" s="1" t="s">
        <v>8</v>
      </c>
      <c r="C51" s="6">
        <v>12905104</v>
      </c>
      <c r="D51" s="6">
        <v>12905104</v>
      </c>
      <c r="E51" s="6">
        <v>208517</v>
      </c>
      <c r="F51" s="6">
        <v>238701</v>
      </c>
      <c r="G51" s="6">
        <v>26257426</v>
      </c>
      <c r="H51" s="3" t="str">
        <f t="shared" si="1"/>
        <v/>
      </c>
      <c r="I51" s="5" t="str">
        <f t="shared" si="2"/>
        <v/>
      </c>
    </row>
    <row r="52" spans="1:9" x14ac:dyDescent="0.35">
      <c r="A52" s="2" t="s">
        <v>20</v>
      </c>
      <c r="B52" s="2" t="s">
        <v>9</v>
      </c>
      <c r="C52" s="7">
        <v>11948005</v>
      </c>
      <c r="D52" s="7">
        <v>11948005</v>
      </c>
      <c r="E52" s="7">
        <v>195398</v>
      </c>
      <c r="F52" s="7">
        <v>217641</v>
      </c>
      <c r="G52" s="7">
        <v>24309049</v>
      </c>
      <c r="H52" s="3">
        <f t="shared" si="1"/>
        <v>7.4202894068900738E-2</v>
      </c>
      <c r="I52" s="5">
        <f t="shared" si="2"/>
        <v>1948377</v>
      </c>
    </row>
    <row r="53" spans="1:9" x14ac:dyDescent="0.35">
      <c r="A53" s="1" t="s">
        <v>20</v>
      </c>
      <c r="B53" s="1" t="s">
        <v>10</v>
      </c>
      <c r="C53" s="6">
        <v>11946281</v>
      </c>
      <c r="D53" s="6">
        <v>11946281</v>
      </c>
      <c r="E53" s="6">
        <v>195298</v>
      </c>
      <c r="F53" s="6">
        <v>217523</v>
      </c>
      <c r="G53" s="6">
        <v>24305383</v>
      </c>
      <c r="H53" s="3">
        <f t="shared" si="1"/>
        <v>1.5080803860323784E-4</v>
      </c>
      <c r="I53" s="5">
        <f t="shared" si="2"/>
        <v>3666</v>
      </c>
    </row>
    <row r="54" spans="1:9" x14ac:dyDescent="0.35">
      <c r="A54" s="2" t="s">
        <v>20</v>
      </c>
      <c r="B54" s="2" t="s">
        <v>11</v>
      </c>
      <c r="C54" s="7">
        <v>11946281</v>
      </c>
      <c r="D54" s="7">
        <v>11946281</v>
      </c>
      <c r="E54" s="7">
        <v>195298</v>
      </c>
      <c r="F54" s="7">
        <v>217523</v>
      </c>
      <c r="G54" s="7">
        <v>24305383</v>
      </c>
      <c r="H54" s="3">
        <f t="shared" si="1"/>
        <v>0</v>
      </c>
      <c r="I54" s="5">
        <f t="shared" si="2"/>
        <v>0</v>
      </c>
    </row>
    <row r="55" spans="1:9" x14ac:dyDescent="0.35">
      <c r="A55" t="s">
        <v>12</v>
      </c>
      <c r="B55" t="s">
        <v>12</v>
      </c>
      <c r="H55" s="3" t="str">
        <f t="shared" si="1"/>
        <v/>
      </c>
      <c r="I55" s="5" t="str">
        <f t="shared" si="2"/>
        <v/>
      </c>
    </row>
    <row r="56" spans="1:9" x14ac:dyDescent="0.35">
      <c r="A56" t="s">
        <v>13</v>
      </c>
      <c r="B56" t="s">
        <v>12</v>
      </c>
      <c r="H56" s="3" t="str">
        <f t="shared" si="1"/>
        <v/>
      </c>
      <c r="I56" s="5" t="str">
        <f t="shared" si="2"/>
        <v/>
      </c>
    </row>
    <row r="57" spans="1:9" x14ac:dyDescent="0.35">
      <c r="A57" t="s">
        <v>12</v>
      </c>
      <c r="B57" t="s">
        <v>12</v>
      </c>
      <c r="H57" s="3" t="str">
        <f t="shared" si="1"/>
        <v/>
      </c>
      <c r="I57" s="5" t="str">
        <f t="shared" si="2"/>
        <v/>
      </c>
    </row>
    <row r="58" spans="1:9" x14ac:dyDescent="0.35">
      <c r="A58" s="1" t="s">
        <v>21</v>
      </c>
      <c r="B58" s="1" t="s">
        <v>8</v>
      </c>
      <c r="C58" s="6">
        <v>38523204</v>
      </c>
      <c r="D58" s="6">
        <v>38523204</v>
      </c>
      <c r="E58" s="6">
        <v>910774</v>
      </c>
      <c r="F58" s="6">
        <v>473124</v>
      </c>
      <c r="G58" s="6">
        <v>78430306</v>
      </c>
      <c r="H58" s="3" t="str">
        <f t="shared" si="1"/>
        <v/>
      </c>
      <c r="I58" s="5" t="str">
        <f t="shared" si="2"/>
        <v/>
      </c>
    </row>
    <row r="59" spans="1:9" x14ac:dyDescent="0.35">
      <c r="A59" s="2" t="s">
        <v>21</v>
      </c>
      <c r="B59" s="2" t="s">
        <v>9</v>
      </c>
      <c r="C59" s="7">
        <v>37878951</v>
      </c>
      <c r="D59" s="7">
        <v>37878951</v>
      </c>
      <c r="E59" s="7">
        <v>899971</v>
      </c>
      <c r="F59" s="7">
        <v>463079</v>
      </c>
      <c r="G59" s="7">
        <v>77120952</v>
      </c>
      <c r="H59" s="3">
        <f t="shared" si="1"/>
        <v>1.6694490520029335E-2</v>
      </c>
      <c r="I59" s="5">
        <f t="shared" si="2"/>
        <v>1309354</v>
      </c>
    </row>
    <row r="60" spans="1:9" x14ac:dyDescent="0.35">
      <c r="A60" s="1" t="s">
        <v>21</v>
      </c>
      <c r="B60" s="1" t="s">
        <v>10</v>
      </c>
      <c r="C60" s="6">
        <v>37874994</v>
      </c>
      <c r="D60" s="6">
        <v>37874994</v>
      </c>
      <c r="E60" s="6">
        <v>899778</v>
      </c>
      <c r="F60" s="6">
        <v>462900</v>
      </c>
      <c r="G60" s="6">
        <v>77112666</v>
      </c>
      <c r="H60" s="3">
        <f t="shared" si="1"/>
        <v>1.074416197559387E-4</v>
      </c>
      <c r="I60" s="5">
        <f t="shared" si="2"/>
        <v>8286</v>
      </c>
    </row>
    <row r="61" spans="1:9" x14ac:dyDescent="0.35">
      <c r="A61" s="2" t="s">
        <v>21</v>
      </c>
      <c r="B61" s="2" t="s">
        <v>11</v>
      </c>
      <c r="C61" s="7">
        <v>37874994</v>
      </c>
      <c r="D61" s="7">
        <v>37874994</v>
      </c>
      <c r="E61" s="7">
        <v>899778</v>
      </c>
      <c r="F61" s="7">
        <v>462900</v>
      </c>
      <c r="G61" s="7">
        <v>77112666</v>
      </c>
      <c r="H61" s="3">
        <f t="shared" si="1"/>
        <v>0</v>
      </c>
      <c r="I61" s="5">
        <f t="shared" si="2"/>
        <v>0</v>
      </c>
    </row>
    <row r="62" spans="1:9" x14ac:dyDescent="0.35">
      <c r="A62" t="s">
        <v>12</v>
      </c>
      <c r="B62" t="s">
        <v>12</v>
      </c>
      <c r="H62" s="3" t="str">
        <f t="shared" si="1"/>
        <v/>
      </c>
      <c r="I62" s="5" t="str">
        <f t="shared" si="2"/>
        <v/>
      </c>
    </row>
    <row r="63" spans="1:9" x14ac:dyDescent="0.35">
      <c r="A63" t="s">
        <v>13</v>
      </c>
      <c r="B63" t="s">
        <v>12</v>
      </c>
      <c r="H63" s="3" t="str">
        <f t="shared" si="1"/>
        <v/>
      </c>
      <c r="I63" s="5" t="str">
        <f t="shared" si="2"/>
        <v/>
      </c>
    </row>
    <row r="64" spans="1:9" x14ac:dyDescent="0.35">
      <c r="A64" t="s">
        <v>12</v>
      </c>
      <c r="B64" t="s">
        <v>12</v>
      </c>
      <c r="H64" s="3" t="str">
        <f t="shared" si="1"/>
        <v/>
      </c>
      <c r="I64" s="5" t="str">
        <f t="shared" si="2"/>
        <v/>
      </c>
    </row>
    <row r="65" spans="1:9" x14ac:dyDescent="0.35">
      <c r="A65" s="1" t="s">
        <v>22</v>
      </c>
      <c r="B65" s="1" t="s">
        <v>8</v>
      </c>
      <c r="C65" s="6">
        <v>111518389</v>
      </c>
      <c r="D65" s="6">
        <v>111518389</v>
      </c>
      <c r="E65" s="6">
        <v>6133409</v>
      </c>
      <c r="F65" s="6">
        <v>1665958</v>
      </c>
      <c r="G65" s="6">
        <v>230836145</v>
      </c>
      <c r="H65" s="3" t="str">
        <f t="shared" si="1"/>
        <v/>
      </c>
      <c r="I65" s="5" t="str">
        <f t="shared" si="2"/>
        <v/>
      </c>
    </row>
    <row r="66" spans="1:9" x14ac:dyDescent="0.35">
      <c r="A66" s="2" t="s">
        <v>22</v>
      </c>
      <c r="B66" s="2" t="s">
        <v>9</v>
      </c>
      <c r="C66" s="7">
        <v>110721470</v>
      </c>
      <c r="D66" s="7">
        <v>110721470</v>
      </c>
      <c r="E66" s="7">
        <v>6105134</v>
      </c>
      <c r="F66" s="7">
        <v>1648661</v>
      </c>
      <c r="G66" s="7">
        <v>229196735</v>
      </c>
      <c r="H66" s="3">
        <f t="shared" si="1"/>
        <v>7.1020506775487866E-3</v>
      </c>
      <c r="I66" s="5">
        <f t="shared" ref="I66:I97" si="3">IF(A66=A65,G65-G66,"")</f>
        <v>1639410</v>
      </c>
    </row>
    <row r="67" spans="1:9" x14ac:dyDescent="0.35">
      <c r="A67" s="1" t="s">
        <v>22</v>
      </c>
      <c r="B67" s="1" t="s">
        <v>10</v>
      </c>
      <c r="C67" s="6">
        <v>110716924</v>
      </c>
      <c r="D67" s="6">
        <v>110716924</v>
      </c>
      <c r="E67" s="6">
        <v>6104545</v>
      </c>
      <c r="F67" s="6">
        <v>1648166</v>
      </c>
      <c r="G67" s="6">
        <v>229186559</v>
      </c>
      <c r="H67" s="3">
        <f t="shared" si="1"/>
        <v>4.4398538225250024E-5</v>
      </c>
      <c r="I67" s="5">
        <f t="shared" si="3"/>
        <v>10176</v>
      </c>
    </row>
    <row r="68" spans="1:9" x14ac:dyDescent="0.35">
      <c r="A68" s="2" t="s">
        <v>22</v>
      </c>
      <c r="B68" s="2" t="s">
        <v>11</v>
      </c>
      <c r="C68" s="7">
        <v>110716924</v>
      </c>
      <c r="D68" s="7">
        <v>110716924</v>
      </c>
      <c r="E68" s="7">
        <v>6104545</v>
      </c>
      <c r="F68" s="7">
        <v>1648166</v>
      </c>
      <c r="G68" s="7">
        <v>229186559</v>
      </c>
      <c r="H68" s="3">
        <f t="shared" ref="H68:H131" si="4">IF(A68=A67,(G67-G68)/G67,"")</f>
        <v>0</v>
      </c>
      <c r="I68" s="5">
        <f t="shared" si="3"/>
        <v>0</v>
      </c>
    </row>
    <row r="69" spans="1:9" x14ac:dyDescent="0.35">
      <c r="A69" t="s">
        <v>12</v>
      </c>
      <c r="B69" t="s">
        <v>12</v>
      </c>
      <c r="H69" s="3" t="str">
        <f t="shared" si="4"/>
        <v/>
      </c>
      <c r="I69" s="5" t="str">
        <f t="shared" si="3"/>
        <v/>
      </c>
    </row>
    <row r="70" spans="1:9" x14ac:dyDescent="0.35">
      <c r="A70" t="s">
        <v>13</v>
      </c>
      <c r="B70" t="s">
        <v>12</v>
      </c>
      <c r="H70" s="3" t="str">
        <f t="shared" si="4"/>
        <v/>
      </c>
      <c r="I70" s="5" t="str">
        <f t="shared" si="3"/>
        <v/>
      </c>
    </row>
    <row r="71" spans="1:9" x14ac:dyDescent="0.35">
      <c r="A71" t="s">
        <v>12</v>
      </c>
      <c r="B71" t="s">
        <v>12</v>
      </c>
      <c r="H71" s="3" t="str">
        <f t="shared" si="4"/>
        <v/>
      </c>
      <c r="I71" s="5" t="str">
        <f t="shared" si="3"/>
        <v/>
      </c>
    </row>
    <row r="72" spans="1:9" x14ac:dyDescent="0.35">
      <c r="A72" s="1" t="s">
        <v>23</v>
      </c>
      <c r="B72" s="1" t="s">
        <v>8</v>
      </c>
      <c r="C72" s="6">
        <v>41285436</v>
      </c>
      <c r="D72" s="6">
        <v>41285436</v>
      </c>
      <c r="E72" s="6">
        <v>854173</v>
      </c>
      <c r="F72" s="6">
        <v>572558</v>
      </c>
      <c r="G72" s="6">
        <v>83997603</v>
      </c>
      <c r="H72" s="3" t="str">
        <f t="shared" si="4"/>
        <v/>
      </c>
      <c r="I72" s="5" t="str">
        <f t="shared" si="3"/>
        <v/>
      </c>
    </row>
    <row r="73" spans="1:9" x14ac:dyDescent="0.35">
      <c r="A73" s="2" t="s">
        <v>23</v>
      </c>
      <c r="B73" s="2" t="s">
        <v>9</v>
      </c>
      <c r="C73" s="7">
        <v>40905107</v>
      </c>
      <c r="D73" s="7">
        <v>40905107</v>
      </c>
      <c r="E73" s="7">
        <v>847422</v>
      </c>
      <c r="F73" s="7">
        <v>565422</v>
      </c>
      <c r="G73" s="7">
        <v>83223058</v>
      </c>
      <c r="H73" s="3">
        <f t="shared" si="4"/>
        <v>9.2210369383993011E-3</v>
      </c>
      <c r="I73" s="5">
        <f t="shared" si="3"/>
        <v>774545</v>
      </c>
    </row>
    <row r="74" spans="1:9" x14ac:dyDescent="0.35">
      <c r="A74" s="1" t="s">
        <v>23</v>
      </c>
      <c r="B74" s="1" t="s">
        <v>10</v>
      </c>
      <c r="C74" s="6">
        <v>40901558</v>
      </c>
      <c r="D74" s="6">
        <v>40901558</v>
      </c>
      <c r="E74" s="6">
        <v>847160</v>
      </c>
      <c r="F74" s="6">
        <v>565185</v>
      </c>
      <c r="G74" s="6">
        <v>83215461</v>
      </c>
      <c r="H74" s="3">
        <f t="shared" si="4"/>
        <v>9.1284797537720858E-5</v>
      </c>
      <c r="I74" s="5">
        <f t="shared" si="3"/>
        <v>7597</v>
      </c>
    </row>
    <row r="75" spans="1:9" x14ac:dyDescent="0.35">
      <c r="A75" s="2" t="s">
        <v>23</v>
      </c>
      <c r="B75" s="2" t="s">
        <v>11</v>
      </c>
      <c r="C75" s="7">
        <v>40901558</v>
      </c>
      <c r="D75" s="7">
        <v>40901558</v>
      </c>
      <c r="E75" s="7">
        <v>847160</v>
      </c>
      <c r="F75" s="7">
        <v>565185</v>
      </c>
      <c r="G75" s="7">
        <v>83215461</v>
      </c>
      <c r="H75" s="3">
        <f t="shared" si="4"/>
        <v>0</v>
      </c>
      <c r="I75" s="5">
        <f t="shared" si="3"/>
        <v>0</v>
      </c>
    </row>
    <row r="76" spans="1:9" x14ac:dyDescent="0.35">
      <c r="A76" t="s">
        <v>12</v>
      </c>
      <c r="B76" t="s">
        <v>12</v>
      </c>
      <c r="H76" s="3" t="str">
        <f t="shared" si="4"/>
        <v/>
      </c>
      <c r="I76" s="5" t="str">
        <f t="shared" si="3"/>
        <v/>
      </c>
    </row>
    <row r="77" spans="1:9" x14ac:dyDescent="0.35">
      <c r="A77" t="s">
        <v>13</v>
      </c>
      <c r="B77" t="s">
        <v>12</v>
      </c>
      <c r="H77" s="3" t="str">
        <f t="shared" si="4"/>
        <v/>
      </c>
      <c r="I77" s="5" t="str">
        <f t="shared" si="3"/>
        <v/>
      </c>
    </row>
    <row r="78" spans="1:9" x14ac:dyDescent="0.35">
      <c r="A78" t="s">
        <v>12</v>
      </c>
      <c r="B78" t="s">
        <v>12</v>
      </c>
      <c r="H78" s="3" t="str">
        <f t="shared" si="4"/>
        <v/>
      </c>
      <c r="I78" s="5" t="str">
        <f t="shared" si="3"/>
        <v/>
      </c>
    </row>
    <row r="79" spans="1:9" x14ac:dyDescent="0.35">
      <c r="A79" s="1" t="s">
        <v>24</v>
      </c>
      <c r="B79" s="1" t="s">
        <v>8</v>
      </c>
      <c r="C79" s="6">
        <v>31093789</v>
      </c>
      <c r="D79" s="6">
        <v>31093789</v>
      </c>
      <c r="E79" s="6">
        <v>511582</v>
      </c>
      <c r="F79" s="6">
        <v>313585</v>
      </c>
      <c r="G79" s="6">
        <v>63012745</v>
      </c>
      <c r="H79" s="3" t="str">
        <f t="shared" si="4"/>
        <v/>
      </c>
      <c r="I79" s="5" t="str">
        <f t="shared" si="3"/>
        <v/>
      </c>
    </row>
    <row r="80" spans="1:9" x14ac:dyDescent="0.35">
      <c r="A80" s="2" t="s">
        <v>24</v>
      </c>
      <c r="B80" s="2" t="s">
        <v>9</v>
      </c>
      <c r="C80" s="7">
        <v>29245585</v>
      </c>
      <c r="D80" s="7">
        <v>29245585</v>
      </c>
      <c r="E80" s="7">
        <v>488158</v>
      </c>
      <c r="F80" s="7">
        <v>293109</v>
      </c>
      <c r="G80" s="7">
        <v>59272437</v>
      </c>
      <c r="H80" s="3">
        <f t="shared" si="4"/>
        <v>5.9357960044432279E-2</v>
      </c>
      <c r="I80" s="5">
        <f t="shared" si="3"/>
        <v>3740308</v>
      </c>
    </row>
    <row r="81" spans="1:9" x14ac:dyDescent="0.35">
      <c r="A81" s="1" t="s">
        <v>24</v>
      </c>
      <c r="B81" s="1" t="s">
        <v>10</v>
      </c>
      <c r="C81" s="6">
        <v>29236429</v>
      </c>
      <c r="D81" s="6">
        <v>29236429</v>
      </c>
      <c r="E81" s="6">
        <v>487928</v>
      </c>
      <c r="F81" s="6">
        <v>292935</v>
      </c>
      <c r="G81" s="6">
        <v>59253721</v>
      </c>
      <c r="H81" s="3">
        <f t="shared" si="4"/>
        <v>3.1576228255976717E-4</v>
      </c>
      <c r="I81" s="5">
        <f t="shared" si="3"/>
        <v>18716</v>
      </c>
    </row>
    <row r="82" spans="1:9" x14ac:dyDescent="0.35">
      <c r="A82" s="2" t="s">
        <v>24</v>
      </c>
      <c r="B82" s="2" t="s">
        <v>11</v>
      </c>
      <c r="C82" s="7">
        <v>29236429</v>
      </c>
      <c r="D82" s="7">
        <v>29236429</v>
      </c>
      <c r="E82" s="7">
        <v>487928</v>
      </c>
      <c r="F82" s="7">
        <v>292935</v>
      </c>
      <c r="G82" s="7">
        <v>59253721</v>
      </c>
      <c r="H82" s="3">
        <f t="shared" si="4"/>
        <v>0</v>
      </c>
      <c r="I82" s="5">
        <f t="shared" si="3"/>
        <v>0</v>
      </c>
    </row>
    <row r="83" spans="1:9" x14ac:dyDescent="0.35">
      <c r="A83" t="s">
        <v>12</v>
      </c>
      <c r="B83" t="s">
        <v>12</v>
      </c>
      <c r="H83" s="3" t="str">
        <f t="shared" si="4"/>
        <v/>
      </c>
      <c r="I83" s="5" t="str">
        <f t="shared" si="3"/>
        <v/>
      </c>
    </row>
    <row r="84" spans="1:9" x14ac:dyDescent="0.35">
      <c r="A84" t="s">
        <v>13</v>
      </c>
      <c r="B84" t="s">
        <v>12</v>
      </c>
      <c r="H84" s="3" t="str">
        <f t="shared" si="4"/>
        <v/>
      </c>
      <c r="I84" s="5" t="str">
        <f t="shared" si="3"/>
        <v/>
      </c>
    </row>
    <row r="85" spans="1:9" x14ac:dyDescent="0.35">
      <c r="A85" t="s">
        <v>12</v>
      </c>
      <c r="B85" t="s">
        <v>12</v>
      </c>
      <c r="H85" s="3" t="str">
        <f t="shared" si="4"/>
        <v/>
      </c>
      <c r="I85" s="5" t="str">
        <f t="shared" si="3"/>
        <v/>
      </c>
    </row>
    <row r="86" spans="1:9" x14ac:dyDescent="0.35">
      <c r="A86" s="1" t="s">
        <v>25</v>
      </c>
      <c r="B86" s="1" t="s">
        <v>8</v>
      </c>
      <c r="C86" s="6">
        <v>41579171</v>
      </c>
      <c r="D86" s="6">
        <v>41579171</v>
      </c>
      <c r="E86" s="6">
        <v>878451</v>
      </c>
      <c r="F86" s="6">
        <v>519727</v>
      </c>
      <c r="G86" s="6">
        <v>84556520</v>
      </c>
      <c r="H86" s="3" t="str">
        <f t="shared" si="4"/>
        <v/>
      </c>
      <c r="I86" s="5" t="str">
        <f t="shared" si="3"/>
        <v/>
      </c>
    </row>
    <row r="87" spans="1:9" x14ac:dyDescent="0.35">
      <c r="A87" s="2" t="s">
        <v>25</v>
      </c>
      <c r="B87" s="2" t="s">
        <v>9</v>
      </c>
      <c r="C87" s="7">
        <v>41205466</v>
      </c>
      <c r="D87" s="7">
        <v>41205466</v>
      </c>
      <c r="E87" s="7">
        <v>873257</v>
      </c>
      <c r="F87" s="7">
        <v>514220</v>
      </c>
      <c r="G87" s="7">
        <v>83798409</v>
      </c>
      <c r="H87" s="3">
        <f t="shared" si="4"/>
        <v>8.9657308507966032E-3</v>
      </c>
      <c r="I87" s="5">
        <f t="shared" si="3"/>
        <v>758111</v>
      </c>
    </row>
    <row r="88" spans="1:9" x14ac:dyDescent="0.35">
      <c r="A88" s="1" t="s">
        <v>25</v>
      </c>
      <c r="B88" s="1" t="s">
        <v>10</v>
      </c>
      <c r="C88" s="6">
        <v>41202979</v>
      </c>
      <c r="D88" s="6">
        <v>41202979</v>
      </c>
      <c r="E88" s="6">
        <v>873147</v>
      </c>
      <c r="F88" s="6">
        <v>514110</v>
      </c>
      <c r="G88" s="6">
        <v>83793215</v>
      </c>
      <c r="H88" s="3">
        <f t="shared" si="4"/>
        <v>6.1982083693259616E-5</v>
      </c>
      <c r="I88" s="5">
        <f t="shared" si="3"/>
        <v>5194</v>
      </c>
    </row>
    <row r="89" spans="1:9" x14ac:dyDescent="0.35">
      <c r="A89" s="2" t="s">
        <v>25</v>
      </c>
      <c r="B89" s="2" t="s">
        <v>11</v>
      </c>
      <c r="C89" s="7">
        <v>41202979</v>
      </c>
      <c r="D89" s="7">
        <v>41202979</v>
      </c>
      <c r="E89" s="7">
        <v>873147</v>
      </c>
      <c r="F89" s="7">
        <v>514110</v>
      </c>
      <c r="G89" s="7">
        <v>83793215</v>
      </c>
      <c r="H89" s="3">
        <f t="shared" si="4"/>
        <v>0</v>
      </c>
      <c r="I89" s="5">
        <f t="shared" si="3"/>
        <v>0</v>
      </c>
    </row>
    <row r="90" spans="1:9" x14ac:dyDescent="0.35">
      <c r="A90" t="s">
        <v>12</v>
      </c>
      <c r="B90" t="s">
        <v>12</v>
      </c>
      <c r="H90" s="3" t="str">
        <f t="shared" si="4"/>
        <v/>
      </c>
      <c r="I90" s="5" t="str">
        <f t="shared" si="3"/>
        <v/>
      </c>
    </row>
    <row r="91" spans="1:9" x14ac:dyDescent="0.35">
      <c r="A91" t="s">
        <v>13</v>
      </c>
      <c r="B91" t="s">
        <v>12</v>
      </c>
      <c r="H91" s="3" t="str">
        <f t="shared" si="4"/>
        <v/>
      </c>
      <c r="I91" s="5" t="str">
        <f t="shared" si="3"/>
        <v/>
      </c>
    </row>
    <row r="92" spans="1:9" x14ac:dyDescent="0.35">
      <c r="A92" t="s">
        <v>12</v>
      </c>
      <c r="B92" t="s">
        <v>12</v>
      </c>
      <c r="H92" s="3" t="str">
        <f t="shared" si="4"/>
        <v/>
      </c>
      <c r="I92" s="5" t="str">
        <f t="shared" si="3"/>
        <v/>
      </c>
    </row>
    <row r="93" spans="1:9" x14ac:dyDescent="0.35">
      <c r="A93" s="1" t="s">
        <v>26</v>
      </c>
      <c r="B93" s="1" t="s">
        <v>8</v>
      </c>
      <c r="C93" s="6">
        <v>70836243</v>
      </c>
      <c r="D93" s="6">
        <v>70836243</v>
      </c>
      <c r="E93" s="6">
        <v>1122281</v>
      </c>
      <c r="F93" s="6">
        <v>907423</v>
      </c>
      <c r="G93" s="6">
        <v>143702190</v>
      </c>
      <c r="H93" s="3" t="str">
        <f t="shared" si="4"/>
        <v/>
      </c>
      <c r="I93" s="5" t="str">
        <f t="shared" si="3"/>
        <v/>
      </c>
    </row>
    <row r="94" spans="1:9" x14ac:dyDescent="0.35">
      <c r="A94" s="2" t="s">
        <v>26</v>
      </c>
      <c r="B94" s="2" t="s">
        <v>9</v>
      </c>
      <c r="C94" s="7">
        <v>67945280</v>
      </c>
      <c r="D94" s="7">
        <v>67945280</v>
      </c>
      <c r="E94" s="7">
        <v>1084012</v>
      </c>
      <c r="F94" s="7">
        <v>864454</v>
      </c>
      <c r="G94" s="7">
        <v>137839026</v>
      </c>
      <c r="H94" s="3">
        <f t="shared" si="4"/>
        <v>4.0800797816651226E-2</v>
      </c>
      <c r="I94" s="5">
        <f t="shared" si="3"/>
        <v>5863164</v>
      </c>
    </row>
    <row r="95" spans="1:9" x14ac:dyDescent="0.35">
      <c r="A95" s="1" t="s">
        <v>26</v>
      </c>
      <c r="B95" s="1" t="s">
        <v>10</v>
      </c>
      <c r="C95" s="6">
        <v>67935180</v>
      </c>
      <c r="D95" s="6">
        <v>67935180</v>
      </c>
      <c r="E95" s="6">
        <v>1083622</v>
      </c>
      <c r="F95" s="6">
        <v>864121</v>
      </c>
      <c r="G95" s="6">
        <v>137818103</v>
      </c>
      <c r="H95" s="3">
        <f t="shared" si="4"/>
        <v>1.5179300526978477E-4</v>
      </c>
      <c r="I95" s="5">
        <f t="shared" si="3"/>
        <v>20923</v>
      </c>
    </row>
    <row r="96" spans="1:9" x14ac:dyDescent="0.35">
      <c r="A96" s="2" t="s">
        <v>26</v>
      </c>
      <c r="B96" s="2" t="s">
        <v>11</v>
      </c>
      <c r="C96" s="7">
        <v>67935180</v>
      </c>
      <c r="D96" s="7">
        <v>67935180</v>
      </c>
      <c r="E96" s="7">
        <v>1083622</v>
      </c>
      <c r="F96" s="7">
        <v>864121</v>
      </c>
      <c r="G96" s="7">
        <v>137818103</v>
      </c>
      <c r="H96" s="3">
        <f t="shared" si="4"/>
        <v>0</v>
      </c>
      <c r="I96" s="5">
        <f t="shared" si="3"/>
        <v>0</v>
      </c>
    </row>
    <row r="97" spans="1:9" x14ac:dyDescent="0.35">
      <c r="A97" t="s">
        <v>12</v>
      </c>
      <c r="B97" t="s">
        <v>12</v>
      </c>
      <c r="H97" s="3" t="str">
        <f t="shared" si="4"/>
        <v/>
      </c>
      <c r="I97" s="5" t="str">
        <f t="shared" si="3"/>
        <v/>
      </c>
    </row>
    <row r="98" spans="1:9" x14ac:dyDescent="0.35">
      <c r="A98" t="s">
        <v>13</v>
      </c>
      <c r="B98" t="s">
        <v>12</v>
      </c>
      <c r="H98" s="3" t="str">
        <f t="shared" si="4"/>
        <v/>
      </c>
      <c r="I98" s="5" t="str">
        <f t="shared" ref="I98:I129" si="5">IF(A98=A97,G97-G98,"")</f>
        <v/>
      </c>
    </row>
    <row r="99" spans="1:9" x14ac:dyDescent="0.35">
      <c r="A99" t="s">
        <v>12</v>
      </c>
      <c r="B99" t="s">
        <v>12</v>
      </c>
      <c r="H99" s="3" t="str">
        <f t="shared" si="4"/>
        <v/>
      </c>
      <c r="I99" s="5" t="str">
        <f t="shared" si="5"/>
        <v/>
      </c>
    </row>
    <row r="100" spans="1:9" x14ac:dyDescent="0.35">
      <c r="A100" s="1" t="s">
        <v>27</v>
      </c>
      <c r="B100" s="1" t="s">
        <v>8</v>
      </c>
      <c r="C100" s="6">
        <v>34768769</v>
      </c>
      <c r="D100" s="6">
        <v>34768769</v>
      </c>
      <c r="E100" s="6">
        <v>614896</v>
      </c>
      <c r="F100" s="6">
        <v>329032</v>
      </c>
      <c r="G100" s="6">
        <v>70481466</v>
      </c>
      <c r="H100" s="3" t="str">
        <f t="shared" si="4"/>
        <v/>
      </c>
      <c r="I100" s="5" t="str">
        <f t="shared" si="5"/>
        <v/>
      </c>
    </row>
    <row r="101" spans="1:9" x14ac:dyDescent="0.35">
      <c r="A101" s="2" t="s">
        <v>27</v>
      </c>
      <c r="B101" s="2" t="s">
        <v>9</v>
      </c>
      <c r="C101" s="7">
        <v>32473706</v>
      </c>
      <c r="D101" s="7">
        <v>32473706</v>
      </c>
      <c r="E101" s="7">
        <v>579560</v>
      </c>
      <c r="F101" s="7">
        <v>304868</v>
      </c>
      <c r="G101" s="7">
        <v>65831840</v>
      </c>
      <c r="H101" s="3">
        <f t="shared" si="4"/>
        <v>6.5969484800443845E-2</v>
      </c>
      <c r="I101" s="5">
        <f t="shared" si="5"/>
        <v>4649626</v>
      </c>
    </row>
    <row r="102" spans="1:9" x14ac:dyDescent="0.35">
      <c r="A102" s="1" t="s">
        <v>27</v>
      </c>
      <c r="B102" s="1" t="s">
        <v>10</v>
      </c>
      <c r="C102" s="6">
        <v>32458132</v>
      </c>
      <c r="D102" s="6">
        <v>32458132</v>
      </c>
      <c r="E102" s="6">
        <v>579197</v>
      </c>
      <c r="F102" s="6">
        <v>304583</v>
      </c>
      <c r="G102" s="6">
        <v>65800044</v>
      </c>
      <c r="H102" s="3">
        <f t="shared" si="4"/>
        <v>4.8298817107345017E-4</v>
      </c>
      <c r="I102" s="5">
        <f t="shared" si="5"/>
        <v>31796</v>
      </c>
    </row>
    <row r="103" spans="1:9" x14ac:dyDescent="0.35">
      <c r="A103" s="2" t="s">
        <v>27</v>
      </c>
      <c r="B103" s="2" t="s">
        <v>11</v>
      </c>
      <c r="C103" s="7">
        <v>32458132</v>
      </c>
      <c r="D103" s="7">
        <v>32458132</v>
      </c>
      <c r="E103" s="7">
        <v>579197</v>
      </c>
      <c r="F103" s="7">
        <v>304583</v>
      </c>
      <c r="G103" s="7">
        <v>65800044</v>
      </c>
      <c r="H103" s="3">
        <f t="shared" si="4"/>
        <v>0</v>
      </c>
      <c r="I103" s="5">
        <f t="shared" si="5"/>
        <v>0</v>
      </c>
    </row>
    <row r="104" spans="1:9" x14ac:dyDescent="0.35">
      <c r="A104" t="s">
        <v>12</v>
      </c>
      <c r="B104" t="s">
        <v>12</v>
      </c>
      <c r="H104" s="3" t="str">
        <f t="shared" si="4"/>
        <v/>
      </c>
      <c r="I104" s="5" t="str">
        <f t="shared" si="5"/>
        <v/>
      </c>
    </row>
    <row r="105" spans="1:9" x14ac:dyDescent="0.35">
      <c r="A105" t="s">
        <v>13</v>
      </c>
      <c r="B105" t="s">
        <v>12</v>
      </c>
      <c r="H105" s="3" t="str">
        <f t="shared" si="4"/>
        <v/>
      </c>
      <c r="I105" s="5" t="str">
        <f t="shared" si="5"/>
        <v/>
      </c>
    </row>
    <row r="106" spans="1:9" x14ac:dyDescent="0.35">
      <c r="A106" t="s">
        <v>12</v>
      </c>
      <c r="B106" t="s">
        <v>12</v>
      </c>
      <c r="H106" s="3" t="str">
        <f t="shared" si="4"/>
        <v/>
      </c>
      <c r="I106" s="5" t="str">
        <f t="shared" si="5"/>
        <v/>
      </c>
    </row>
    <row r="107" spans="1:9" x14ac:dyDescent="0.35">
      <c r="A107" s="1" t="s">
        <v>28</v>
      </c>
      <c r="B107" s="1" t="s">
        <v>8</v>
      </c>
      <c r="C107" s="6">
        <v>43907189</v>
      </c>
      <c r="D107" s="6">
        <v>43907189</v>
      </c>
      <c r="E107" s="6">
        <v>834028</v>
      </c>
      <c r="F107" s="6">
        <v>510154</v>
      </c>
      <c r="G107" s="6">
        <v>89158560</v>
      </c>
      <c r="H107" s="3" t="str">
        <f t="shared" si="4"/>
        <v/>
      </c>
      <c r="I107" s="5" t="str">
        <f t="shared" si="5"/>
        <v/>
      </c>
    </row>
    <row r="108" spans="1:9" x14ac:dyDescent="0.35">
      <c r="A108" s="2" t="s">
        <v>28</v>
      </c>
      <c r="B108" s="2" t="s">
        <v>9</v>
      </c>
      <c r="C108" s="7">
        <v>42604365</v>
      </c>
      <c r="D108" s="7">
        <v>42604365</v>
      </c>
      <c r="E108" s="7">
        <v>812940</v>
      </c>
      <c r="F108" s="7">
        <v>491118</v>
      </c>
      <c r="G108" s="7">
        <v>86512788</v>
      </c>
      <c r="H108" s="3">
        <f t="shared" si="4"/>
        <v>2.9674907266335392E-2</v>
      </c>
      <c r="I108" s="5">
        <f t="shared" si="5"/>
        <v>2645772</v>
      </c>
    </row>
    <row r="109" spans="1:9" x14ac:dyDescent="0.35">
      <c r="A109" s="1" t="s">
        <v>28</v>
      </c>
      <c r="B109" s="1" t="s">
        <v>10</v>
      </c>
      <c r="C109" s="6">
        <v>42598680</v>
      </c>
      <c r="D109" s="6">
        <v>42598680</v>
      </c>
      <c r="E109" s="6">
        <v>812657</v>
      </c>
      <c r="F109" s="6">
        <v>490911</v>
      </c>
      <c r="G109" s="6">
        <v>86500928</v>
      </c>
      <c r="H109" s="3">
        <f t="shared" si="4"/>
        <v>1.3708955952269159E-4</v>
      </c>
      <c r="I109" s="5">
        <f t="shared" si="5"/>
        <v>11860</v>
      </c>
    </row>
    <row r="110" spans="1:9" x14ac:dyDescent="0.35">
      <c r="A110" s="2" t="s">
        <v>28</v>
      </c>
      <c r="B110" s="2" t="s">
        <v>11</v>
      </c>
      <c r="C110" s="7">
        <v>42598680</v>
      </c>
      <c r="D110" s="7">
        <v>42598680</v>
      </c>
      <c r="E110" s="7">
        <v>812657</v>
      </c>
      <c r="F110" s="7">
        <v>490911</v>
      </c>
      <c r="G110" s="7">
        <v>86500928</v>
      </c>
      <c r="H110" s="3">
        <f t="shared" si="4"/>
        <v>0</v>
      </c>
      <c r="I110" s="5">
        <f t="shared" si="5"/>
        <v>0</v>
      </c>
    </row>
    <row r="111" spans="1:9" x14ac:dyDescent="0.35">
      <c r="A111" t="s">
        <v>12</v>
      </c>
      <c r="B111" t="s">
        <v>12</v>
      </c>
      <c r="H111" s="3" t="str">
        <f t="shared" si="4"/>
        <v/>
      </c>
      <c r="I111" s="5" t="str">
        <f t="shared" si="5"/>
        <v/>
      </c>
    </row>
    <row r="112" spans="1:9" x14ac:dyDescent="0.35">
      <c r="A112" t="s">
        <v>13</v>
      </c>
      <c r="B112" t="s">
        <v>12</v>
      </c>
      <c r="H112" s="3" t="str">
        <f t="shared" si="4"/>
        <v/>
      </c>
      <c r="I112" s="5" t="str">
        <f t="shared" si="5"/>
        <v/>
      </c>
    </row>
    <row r="113" spans="1:9" x14ac:dyDescent="0.35">
      <c r="A113" t="s">
        <v>12</v>
      </c>
      <c r="B113" t="s">
        <v>12</v>
      </c>
      <c r="H113" s="3" t="str">
        <f t="shared" si="4"/>
        <v/>
      </c>
      <c r="I113" s="5" t="str">
        <f t="shared" si="5"/>
        <v/>
      </c>
    </row>
    <row r="114" spans="1:9" x14ac:dyDescent="0.35">
      <c r="A114" s="1" t="s">
        <v>29</v>
      </c>
      <c r="B114" s="1" t="s">
        <v>8</v>
      </c>
      <c r="C114" s="6">
        <v>53063524</v>
      </c>
      <c r="D114" s="6">
        <v>53063524</v>
      </c>
      <c r="E114" s="6">
        <v>3571596</v>
      </c>
      <c r="F114" s="6">
        <v>512676</v>
      </c>
      <c r="G114" s="6">
        <v>110211320</v>
      </c>
      <c r="H114" s="3" t="str">
        <f t="shared" si="4"/>
        <v/>
      </c>
      <c r="I114" s="5" t="str">
        <f t="shared" si="5"/>
        <v/>
      </c>
    </row>
    <row r="115" spans="1:9" x14ac:dyDescent="0.35">
      <c r="A115" s="2" t="s">
        <v>29</v>
      </c>
      <c r="B115" s="2" t="s">
        <v>9</v>
      </c>
      <c r="C115" s="7">
        <v>50991622</v>
      </c>
      <c r="D115" s="7">
        <v>50991622</v>
      </c>
      <c r="E115" s="7">
        <v>3510665</v>
      </c>
      <c r="F115" s="7">
        <v>485727</v>
      </c>
      <c r="G115" s="7">
        <v>105979636</v>
      </c>
      <c r="H115" s="3">
        <f t="shared" si="4"/>
        <v>3.8396092161857784E-2</v>
      </c>
      <c r="I115" s="5">
        <f t="shared" si="5"/>
        <v>4231684</v>
      </c>
    </row>
    <row r="116" spans="1:9" x14ac:dyDescent="0.35">
      <c r="A116" s="1" t="s">
        <v>29</v>
      </c>
      <c r="B116" s="1" t="s">
        <v>10</v>
      </c>
      <c r="C116" s="6">
        <v>50987176</v>
      </c>
      <c r="D116" s="6">
        <v>50987176</v>
      </c>
      <c r="E116" s="6">
        <v>3510489</v>
      </c>
      <c r="F116" s="6">
        <v>485598</v>
      </c>
      <c r="G116" s="6">
        <v>105970439</v>
      </c>
      <c r="H116" s="3">
        <f t="shared" si="4"/>
        <v>8.6780822685595936E-5</v>
      </c>
      <c r="I116" s="5">
        <f t="shared" si="5"/>
        <v>9197</v>
      </c>
    </row>
    <row r="117" spans="1:9" x14ac:dyDescent="0.35">
      <c r="A117" s="2" t="s">
        <v>29</v>
      </c>
      <c r="B117" s="2" t="s">
        <v>11</v>
      </c>
      <c r="C117" s="7">
        <v>50987176</v>
      </c>
      <c r="D117" s="7">
        <v>50987176</v>
      </c>
      <c r="E117" s="7">
        <v>3510489</v>
      </c>
      <c r="F117" s="7">
        <v>485598</v>
      </c>
      <c r="G117" s="7">
        <v>105970439</v>
      </c>
      <c r="H117" s="3">
        <f t="shared" si="4"/>
        <v>0</v>
      </c>
      <c r="I117" s="5">
        <f t="shared" si="5"/>
        <v>0</v>
      </c>
    </row>
    <row r="118" spans="1:9" x14ac:dyDescent="0.35">
      <c r="A118" t="s">
        <v>12</v>
      </c>
      <c r="B118" t="s">
        <v>12</v>
      </c>
      <c r="H118" s="3" t="str">
        <f t="shared" si="4"/>
        <v/>
      </c>
      <c r="I118" s="5" t="str">
        <f t="shared" si="5"/>
        <v/>
      </c>
    </row>
    <row r="119" spans="1:9" x14ac:dyDescent="0.35">
      <c r="A119" t="s">
        <v>13</v>
      </c>
      <c r="B119" t="s">
        <v>12</v>
      </c>
      <c r="H119" s="3" t="str">
        <f t="shared" si="4"/>
        <v/>
      </c>
      <c r="I119" s="5" t="str">
        <f t="shared" si="5"/>
        <v/>
      </c>
    </row>
    <row r="120" spans="1:9" x14ac:dyDescent="0.35">
      <c r="A120" t="s">
        <v>12</v>
      </c>
      <c r="B120" t="s">
        <v>12</v>
      </c>
      <c r="H120" s="3" t="str">
        <f t="shared" si="4"/>
        <v/>
      </c>
      <c r="I120" s="5" t="str">
        <f t="shared" si="5"/>
        <v/>
      </c>
    </row>
    <row r="121" spans="1:9" x14ac:dyDescent="0.35">
      <c r="A121" s="1" t="s">
        <v>30</v>
      </c>
      <c r="B121" s="1" t="s">
        <v>8</v>
      </c>
      <c r="C121" s="6">
        <v>61600825</v>
      </c>
      <c r="D121" s="6">
        <v>61600825</v>
      </c>
      <c r="E121" s="6">
        <v>4488995</v>
      </c>
      <c r="F121" s="6">
        <v>652103</v>
      </c>
      <c r="G121" s="6">
        <v>128342748</v>
      </c>
      <c r="H121" s="3" t="str">
        <f t="shared" si="4"/>
        <v/>
      </c>
      <c r="I121" s="5" t="str">
        <f t="shared" si="5"/>
        <v/>
      </c>
    </row>
    <row r="122" spans="1:9" x14ac:dyDescent="0.35">
      <c r="A122" s="2" t="s">
        <v>30</v>
      </c>
      <c r="B122" s="2" t="s">
        <v>9</v>
      </c>
      <c r="C122" s="7">
        <v>59876097</v>
      </c>
      <c r="D122" s="7">
        <v>59876097</v>
      </c>
      <c r="E122" s="7">
        <v>4434186</v>
      </c>
      <c r="F122" s="7">
        <v>630538</v>
      </c>
      <c r="G122" s="7">
        <v>124816918</v>
      </c>
      <c r="H122" s="3">
        <f t="shared" si="4"/>
        <v>2.7471984626665467E-2</v>
      </c>
      <c r="I122" s="5">
        <f t="shared" si="5"/>
        <v>3525830</v>
      </c>
    </row>
    <row r="123" spans="1:9" x14ac:dyDescent="0.35">
      <c r="A123" s="1" t="s">
        <v>30</v>
      </c>
      <c r="B123" s="1" t="s">
        <v>10</v>
      </c>
      <c r="C123" s="6">
        <v>59868971</v>
      </c>
      <c r="D123" s="6">
        <v>59868971</v>
      </c>
      <c r="E123" s="6">
        <v>4433867</v>
      </c>
      <c r="F123" s="6">
        <v>630333</v>
      </c>
      <c r="G123" s="6">
        <v>124802142</v>
      </c>
      <c r="H123" s="3">
        <f t="shared" si="4"/>
        <v>1.1838138801023752E-4</v>
      </c>
      <c r="I123" s="5">
        <f t="shared" si="5"/>
        <v>14776</v>
      </c>
    </row>
    <row r="124" spans="1:9" x14ac:dyDescent="0.35">
      <c r="A124" s="2" t="s">
        <v>30</v>
      </c>
      <c r="B124" s="2" t="s">
        <v>11</v>
      </c>
      <c r="C124" s="7">
        <v>59868971</v>
      </c>
      <c r="D124" s="7">
        <v>59868971</v>
      </c>
      <c r="E124" s="7">
        <v>4433867</v>
      </c>
      <c r="F124" s="7">
        <v>630333</v>
      </c>
      <c r="G124" s="7">
        <v>124802142</v>
      </c>
      <c r="H124" s="3">
        <f t="shared" si="4"/>
        <v>0</v>
      </c>
      <c r="I124" s="5">
        <f t="shared" si="5"/>
        <v>0</v>
      </c>
    </row>
    <row r="125" spans="1:9" x14ac:dyDescent="0.35">
      <c r="A125" t="s">
        <v>12</v>
      </c>
      <c r="B125" t="s">
        <v>12</v>
      </c>
      <c r="H125" s="3" t="str">
        <f t="shared" si="4"/>
        <v/>
      </c>
      <c r="I125" s="5" t="str">
        <f t="shared" si="5"/>
        <v/>
      </c>
    </row>
    <row r="126" spans="1:9" x14ac:dyDescent="0.35">
      <c r="A126" t="s">
        <v>13</v>
      </c>
      <c r="B126" t="s">
        <v>12</v>
      </c>
      <c r="H126" s="3" t="str">
        <f t="shared" si="4"/>
        <v/>
      </c>
      <c r="I126" s="5" t="str">
        <f t="shared" si="5"/>
        <v/>
      </c>
    </row>
    <row r="127" spans="1:9" x14ac:dyDescent="0.35">
      <c r="A127" t="s">
        <v>12</v>
      </c>
      <c r="B127" t="s">
        <v>12</v>
      </c>
      <c r="H127" s="3" t="str">
        <f t="shared" si="4"/>
        <v/>
      </c>
      <c r="I127" s="5" t="str">
        <f t="shared" si="5"/>
        <v/>
      </c>
    </row>
    <row r="128" spans="1:9" x14ac:dyDescent="0.35">
      <c r="A128" s="1" t="s">
        <v>31</v>
      </c>
      <c r="B128" s="1" t="s">
        <v>8</v>
      </c>
      <c r="C128" s="6">
        <v>47626295</v>
      </c>
      <c r="D128" s="6">
        <v>47626295</v>
      </c>
      <c r="E128" s="6">
        <v>3365966</v>
      </c>
      <c r="F128" s="6">
        <v>440134</v>
      </c>
      <c r="G128" s="6">
        <v>99058690</v>
      </c>
      <c r="H128" s="3" t="str">
        <f t="shared" si="4"/>
        <v/>
      </c>
      <c r="I128" s="5" t="str">
        <f t="shared" si="5"/>
        <v/>
      </c>
    </row>
    <row r="129" spans="1:9" x14ac:dyDescent="0.35">
      <c r="A129" s="2" t="s">
        <v>31</v>
      </c>
      <c r="B129" s="2" t="s">
        <v>9</v>
      </c>
      <c r="C129" s="7">
        <v>45619616</v>
      </c>
      <c r="D129" s="7">
        <v>45619616</v>
      </c>
      <c r="E129" s="7">
        <v>3301901</v>
      </c>
      <c r="F129" s="7">
        <v>416705</v>
      </c>
      <c r="G129" s="7">
        <v>94957838</v>
      </c>
      <c r="H129" s="3">
        <f t="shared" si="4"/>
        <v>4.1398205447699746E-2</v>
      </c>
      <c r="I129" s="5">
        <f t="shared" si="5"/>
        <v>4100852</v>
      </c>
    </row>
    <row r="130" spans="1:9" x14ac:dyDescent="0.35">
      <c r="A130" s="1" t="s">
        <v>31</v>
      </c>
      <c r="B130" s="1" t="s">
        <v>10</v>
      </c>
      <c r="C130" s="6">
        <v>45612800</v>
      </c>
      <c r="D130" s="6">
        <v>45612800</v>
      </c>
      <c r="E130" s="6">
        <v>3301488</v>
      </c>
      <c r="F130" s="6">
        <v>416521</v>
      </c>
      <c r="G130" s="6">
        <v>94943609</v>
      </c>
      <c r="H130" s="3">
        <f t="shared" si="4"/>
        <v>1.4984545035660985E-4</v>
      </c>
      <c r="I130" s="5">
        <f t="shared" ref="I130:I161" si="6">IF(A130=A129,G129-G130,"")</f>
        <v>14229</v>
      </c>
    </row>
    <row r="131" spans="1:9" x14ac:dyDescent="0.35">
      <c r="A131" s="2" t="s">
        <v>31</v>
      </c>
      <c r="B131" s="2" t="s">
        <v>11</v>
      </c>
      <c r="C131" s="7">
        <v>45612800</v>
      </c>
      <c r="D131" s="7">
        <v>45612800</v>
      </c>
      <c r="E131" s="7">
        <v>3301488</v>
      </c>
      <c r="F131" s="7">
        <v>416521</v>
      </c>
      <c r="G131" s="7">
        <v>94943609</v>
      </c>
      <c r="H131" s="3">
        <f t="shared" si="4"/>
        <v>0</v>
      </c>
      <c r="I131" s="5">
        <f t="shared" si="6"/>
        <v>0</v>
      </c>
    </row>
    <row r="132" spans="1:9" x14ac:dyDescent="0.35">
      <c r="A132" t="s">
        <v>12</v>
      </c>
      <c r="B132" t="s">
        <v>12</v>
      </c>
      <c r="H132" s="3" t="str">
        <f t="shared" ref="H132:H169" si="7">IF(A132=A131,(G131-G132)/G131,"")</f>
        <v/>
      </c>
      <c r="I132" s="5" t="str">
        <f t="shared" si="6"/>
        <v/>
      </c>
    </row>
    <row r="133" spans="1:9" x14ac:dyDescent="0.35">
      <c r="A133" t="s">
        <v>13</v>
      </c>
      <c r="B133" t="s">
        <v>12</v>
      </c>
      <c r="H133" s="3" t="str">
        <f t="shared" si="7"/>
        <v/>
      </c>
      <c r="I133" s="5" t="str">
        <f t="shared" si="6"/>
        <v/>
      </c>
    </row>
    <row r="134" spans="1:9" x14ac:dyDescent="0.35">
      <c r="A134" t="s">
        <v>12</v>
      </c>
      <c r="B134" t="s">
        <v>12</v>
      </c>
      <c r="H134" s="3" t="str">
        <f t="shared" si="7"/>
        <v/>
      </c>
      <c r="I134" s="5" t="str">
        <f t="shared" si="6"/>
        <v/>
      </c>
    </row>
    <row r="135" spans="1:9" x14ac:dyDescent="0.35">
      <c r="A135" s="1" t="s">
        <v>32</v>
      </c>
      <c r="B135" s="1" t="s">
        <v>8</v>
      </c>
      <c r="C135" s="6">
        <v>89901939</v>
      </c>
      <c r="D135" s="6">
        <v>89901939</v>
      </c>
      <c r="E135" s="6">
        <v>5753051</v>
      </c>
      <c r="F135" s="6">
        <v>1010752</v>
      </c>
      <c r="G135" s="6">
        <v>186567681</v>
      </c>
      <c r="H135" s="3" t="str">
        <f t="shared" si="7"/>
        <v/>
      </c>
      <c r="I135" s="5" t="str">
        <f t="shared" si="6"/>
        <v/>
      </c>
    </row>
    <row r="136" spans="1:9" x14ac:dyDescent="0.35">
      <c r="A136" s="2" t="s">
        <v>32</v>
      </c>
      <c r="B136" s="2" t="s">
        <v>9</v>
      </c>
      <c r="C136" s="7">
        <v>83584437</v>
      </c>
      <c r="D136" s="7">
        <v>83584437</v>
      </c>
      <c r="E136" s="7">
        <v>5545475</v>
      </c>
      <c r="F136" s="7">
        <v>917141</v>
      </c>
      <c r="G136" s="7">
        <v>173631490</v>
      </c>
      <c r="H136" s="3">
        <f t="shared" si="7"/>
        <v>6.9337791683222988E-2</v>
      </c>
      <c r="I136" s="5">
        <f t="shared" si="6"/>
        <v>12936191</v>
      </c>
    </row>
    <row r="137" spans="1:9" x14ac:dyDescent="0.35">
      <c r="A137" s="1" t="s">
        <v>32</v>
      </c>
      <c r="B137" s="1" t="s">
        <v>10</v>
      </c>
      <c r="C137" s="6">
        <v>83576748</v>
      </c>
      <c r="D137" s="6">
        <v>83576748</v>
      </c>
      <c r="E137" s="6">
        <v>5544923</v>
      </c>
      <c r="F137" s="6">
        <v>916758</v>
      </c>
      <c r="G137" s="6">
        <v>173615177</v>
      </c>
      <c r="H137" s="3">
        <f t="shared" si="7"/>
        <v>9.3951851706162285E-5</v>
      </c>
      <c r="I137" s="5">
        <f t="shared" si="6"/>
        <v>16313</v>
      </c>
    </row>
    <row r="138" spans="1:9" x14ac:dyDescent="0.35">
      <c r="A138" s="2" t="s">
        <v>32</v>
      </c>
      <c r="B138" s="2" t="s">
        <v>11</v>
      </c>
      <c r="C138" s="7">
        <v>83576748</v>
      </c>
      <c r="D138" s="7">
        <v>83576748</v>
      </c>
      <c r="E138" s="7">
        <v>5544923</v>
      </c>
      <c r="F138" s="7">
        <v>916758</v>
      </c>
      <c r="G138" s="7">
        <v>173615177</v>
      </c>
      <c r="H138" s="3">
        <f t="shared" si="7"/>
        <v>0</v>
      </c>
      <c r="I138" s="5">
        <f t="shared" si="6"/>
        <v>0</v>
      </c>
    </row>
    <row r="139" spans="1:9" x14ac:dyDescent="0.35">
      <c r="A139" t="s">
        <v>12</v>
      </c>
      <c r="B139" t="s">
        <v>12</v>
      </c>
      <c r="H139" s="3" t="str">
        <f t="shared" si="7"/>
        <v/>
      </c>
      <c r="I139" s="5" t="str">
        <f t="shared" si="6"/>
        <v/>
      </c>
    </row>
    <row r="140" spans="1:9" x14ac:dyDescent="0.35">
      <c r="A140" t="s">
        <v>13</v>
      </c>
      <c r="B140" t="s">
        <v>12</v>
      </c>
      <c r="H140" s="3" t="str">
        <f t="shared" si="7"/>
        <v/>
      </c>
      <c r="I140" s="5" t="str">
        <f t="shared" si="6"/>
        <v/>
      </c>
    </row>
    <row r="141" spans="1:9" x14ac:dyDescent="0.35">
      <c r="A141" t="s">
        <v>12</v>
      </c>
      <c r="B141" t="s">
        <v>12</v>
      </c>
      <c r="H141" s="3" t="str">
        <f t="shared" si="7"/>
        <v/>
      </c>
      <c r="I141" s="5" t="str">
        <f t="shared" si="6"/>
        <v/>
      </c>
    </row>
    <row r="142" spans="1:9" x14ac:dyDescent="0.35">
      <c r="A142" s="1" t="s">
        <v>33</v>
      </c>
      <c r="B142" s="1" t="s">
        <v>8</v>
      </c>
      <c r="C142" s="6">
        <v>35815192</v>
      </c>
      <c r="D142" s="6">
        <v>35815192</v>
      </c>
      <c r="E142" s="6">
        <v>570903</v>
      </c>
      <c r="F142" s="6">
        <v>356312</v>
      </c>
      <c r="G142" s="6">
        <v>72557599</v>
      </c>
      <c r="H142" s="3" t="str">
        <f t="shared" si="7"/>
        <v/>
      </c>
      <c r="I142" s="5" t="str">
        <f t="shared" si="6"/>
        <v/>
      </c>
    </row>
    <row r="143" spans="1:9" x14ac:dyDescent="0.35">
      <c r="A143" s="2" t="s">
        <v>33</v>
      </c>
      <c r="B143" s="2" t="s">
        <v>9</v>
      </c>
      <c r="C143" s="7">
        <v>34099280</v>
      </c>
      <c r="D143" s="7">
        <v>34099280</v>
      </c>
      <c r="E143" s="7">
        <v>549605</v>
      </c>
      <c r="F143" s="7">
        <v>337392</v>
      </c>
      <c r="G143" s="7">
        <v>69085557</v>
      </c>
      <c r="H143" s="3">
        <f t="shared" si="7"/>
        <v>4.7852217381118139E-2</v>
      </c>
      <c r="I143" s="5">
        <f t="shared" si="6"/>
        <v>3472042</v>
      </c>
    </row>
    <row r="144" spans="1:9" x14ac:dyDescent="0.35">
      <c r="A144" s="1" t="s">
        <v>33</v>
      </c>
      <c r="B144" s="1" t="s">
        <v>10</v>
      </c>
      <c r="C144" s="6">
        <v>34088225</v>
      </c>
      <c r="D144" s="6">
        <v>34088225</v>
      </c>
      <c r="E144" s="6">
        <v>549379</v>
      </c>
      <c r="F144" s="6">
        <v>337191</v>
      </c>
      <c r="G144" s="6">
        <v>69063020</v>
      </c>
      <c r="H144" s="3">
        <f t="shared" si="7"/>
        <v>3.2621869141186773E-4</v>
      </c>
      <c r="I144" s="5">
        <f t="shared" si="6"/>
        <v>22537</v>
      </c>
    </row>
    <row r="145" spans="1:9" x14ac:dyDescent="0.35">
      <c r="A145" s="2" t="s">
        <v>33</v>
      </c>
      <c r="B145" s="2" t="s">
        <v>11</v>
      </c>
      <c r="C145" s="7">
        <v>34088225</v>
      </c>
      <c r="D145" s="7">
        <v>34088225</v>
      </c>
      <c r="E145" s="7">
        <v>549379</v>
      </c>
      <c r="F145" s="7">
        <v>337191</v>
      </c>
      <c r="G145" s="7">
        <v>69063020</v>
      </c>
      <c r="H145" s="3">
        <f t="shared" si="7"/>
        <v>0</v>
      </c>
      <c r="I145" s="5">
        <f t="shared" si="6"/>
        <v>0</v>
      </c>
    </row>
    <row r="146" spans="1:9" x14ac:dyDescent="0.35">
      <c r="A146" t="s">
        <v>12</v>
      </c>
      <c r="B146" t="s">
        <v>12</v>
      </c>
      <c r="H146" s="3" t="str">
        <f t="shared" si="7"/>
        <v/>
      </c>
      <c r="I146" s="5" t="str">
        <f t="shared" si="6"/>
        <v/>
      </c>
    </row>
    <row r="147" spans="1:9" x14ac:dyDescent="0.35">
      <c r="A147" t="s">
        <v>13</v>
      </c>
      <c r="B147" t="s">
        <v>12</v>
      </c>
      <c r="H147" s="3" t="str">
        <f t="shared" si="7"/>
        <v/>
      </c>
      <c r="I147" s="5" t="str">
        <f t="shared" si="6"/>
        <v/>
      </c>
    </row>
    <row r="148" spans="1:9" x14ac:dyDescent="0.35">
      <c r="A148" t="s">
        <v>12</v>
      </c>
      <c r="B148" t="s">
        <v>12</v>
      </c>
      <c r="H148" s="3" t="str">
        <f t="shared" si="7"/>
        <v/>
      </c>
      <c r="I148" s="5" t="str">
        <f t="shared" si="6"/>
        <v/>
      </c>
    </row>
    <row r="149" spans="1:9" x14ac:dyDescent="0.35">
      <c r="A149" s="1" t="s">
        <v>34</v>
      </c>
      <c r="B149" s="1" t="s">
        <v>8</v>
      </c>
      <c r="C149" s="6">
        <v>63630216</v>
      </c>
      <c r="D149" s="6">
        <v>63630216</v>
      </c>
      <c r="E149" s="6">
        <v>3909647</v>
      </c>
      <c r="F149" s="6">
        <v>703078</v>
      </c>
      <c r="G149" s="6">
        <v>131873157</v>
      </c>
      <c r="H149" s="3" t="str">
        <f t="shared" si="7"/>
        <v/>
      </c>
      <c r="I149" s="5" t="str">
        <f t="shared" si="6"/>
        <v/>
      </c>
    </row>
    <row r="150" spans="1:9" x14ac:dyDescent="0.35">
      <c r="A150" s="2" t="s">
        <v>34</v>
      </c>
      <c r="B150" s="2" t="s">
        <v>9</v>
      </c>
      <c r="C150" s="7">
        <v>62164082</v>
      </c>
      <c r="D150" s="7">
        <v>62164082</v>
      </c>
      <c r="E150" s="7">
        <v>3862116</v>
      </c>
      <c r="F150" s="7">
        <v>681258</v>
      </c>
      <c r="G150" s="7">
        <v>128871538</v>
      </c>
      <c r="H150" s="3">
        <f t="shared" si="7"/>
        <v>2.2761410041923846E-2</v>
      </c>
      <c r="I150" s="5">
        <f t="shared" si="6"/>
        <v>3001619</v>
      </c>
    </row>
    <row r="151" spans="1:9" x14ac:dyDescent="0.35">
      <c r="A151" s="1" t="s">
        <v>34</v>
      </c>
      <c r="B151" s="1" t="s">
        <v>10</v>
      </c>
      <c r="C151" s="6">
        <v>62160904</v>
      </c>
      <c r="D151" s="6">
        <v>62160904</v>
      </c>
      <c r="E151" s="6">
        <v>3861882</v>
      </c>
      <c r="F151" s="6">
        <v>681100</v>
      </c>
      <c r="G151" s="6">
        <v>128864790</v>
      </c>
      <c r="H151" s="3">
        <f t="shared" si="7"/>
        <v>5.236222136186502E-5</v>
      </c>
      <c r="I151" s="5">
        <f t="shared" si="6"/>
        <v>6748</v>
      </c>
    </row>
    <row r="152" spans="1:9" x14ac:dyDescent="0.35">
      <c r="A152" s="2" t="s">
        <v>34</v>
      </c>
      <c r="B152" s="2" t="s">
        <v>11</v>
      </c>
      <c r="C152" s="7">
        <v>62160904</v>
      </c>
      <c r="D152" s="7">
        <v>62160904</v>
      </c>
      <c r="E152" s="7">
        <v>3861882</v>
      </c>
      <c r="F152" s="7">
        <v>681100</v>
      </c>
      <c r="G152" s="7">
        <v>128864790</v>
      </c>
      <c r="H152" s="3">
        <f t="shared" si="7"/>
        <v>0</v>
      </c>
      <c r="I152" s="5">
        <f t="shared" si="6"/>
        <v>0</v>
      </c>
    </row>
    <row r="153" spans="1:9" x14ac:dyDescent="0.35">
      <c r="A153" t="s">
        <v>12</v>
      </c>
      <c r="B153" t="s">
        <v>12</v>
      </c>
      <c r="H153" s="3" t="str">
        <f t="shared" si="7"/>
        <v/>
      </c>
      <c r="I153" s="5" t="str">
        <f t="shared" si="6"/>
        <v/>
      </c>
    </row>
    <row r="154" spans="1:9" x14ac:dyDescent="0.35">
      <c r="A154" t="s">
        <v>13</v>
      </c>
      <c r="B154" t="s">
        <v>12</v>
      </c>
      <c r="H154" s="3" t="str">
        <f t="shared" si="7"/>
        <v/>
      </c>
      <c r="I154" s="5" t="str">
        <f t="shared" si="6"/>
        <v/>
      </c>
    </row>
    <row r="155" spans="1:9" x14ac:dyDescent="0.35">
      <c r="A155" t="s">
        <v>12</v>
      </c>
      <c r="B155" t="s">
        <v>12</v>
      </c>
      <c r="H155" s="3" t="str">
        <f t="shared" si="7"/>
        <v/>
      </c>
      <c r="I155" s="5" t="str">
        <f t="shared" si="6"/>
        <v/>
      </c>
    </row>
    <row r="156" spans="1:9" x14ac:dyDescent="0.35">
      <c r="A156" s="1" t="s">
        <v>35</v>
      </c>
      <c r="B156" s="1" t="s">
        <v>8</v>
      </c>
      <c r="C156" s="6">
        <v>42807678</v>
      </c>
      <c r="D156" s="6">
        <v>42807678</v>
      </c>
      <c r="E156" s="6">
        <v>683113</v>
      </c>
      <c r="F156" s="6">
        <v>414176</v>
      </c>
      <c r="G156" s="6">
        <v>86712645</v>
      </c>
      <c r="H156" s="3" t="str">
        <f t="shared" si="7"/>
        <v/>
      </c>
      <c r="I156" s="5" t="str">
        <f t="shared" si="6"/>
        <v/>
      </c>
    </row>
    <row r="157" spans="1:9" x14ac:dyDescent="0.35">
      <c r="A157" s="2" t="s">
        <v>35</v>
      </c>
      <c r="B157" s="2" t="s">
        <v>9</v>
      </c>
      <c r="C157" s="7">
        <v>40693395</v>
      </c>
      <c r="D157" s="7">
        <v>40693395</v>
      </c>
      <c r="E157" s="7">
        <v>655370</v>
      </c>
      <c r="F157" s="7">
        <v>390119</v>
      </c>
      <c r="G157" s="7">
        <v>82432279</v>
      </c>
      <c r="H157" s="3">
        <f t="shared" si="7"/>
        <v>4.9362650626099576E-2</v>
      </c>
      <c r="I157" s="5">
        <f t="shared" si="6"/>
        <v>4280366</v>
      </c>
    </row>
    <row r="158" spans="1:9" x14ac:dyDescent="0.35">
      <c r="A158" s="1" t="s">
        <v>35</v>
      </c>
      <c r="B158" s="1" t="s">
        <v>10</v>
      </c>
      <c r="C158" s="6">
        <v>40640133</v>
      </c>
      <c r="D158" s="6">
        <v>40640133</v>
      </c>
      <c r="E158" s="6">
        <v>654345</v>
      </c>
      <c r="F158" s="6">
        <v>389178</v>
      </c>
      <c r="G158" s="6">
        <v>82323789</v>
      </c>
      <c r="H158" s="3">
        <f t="shared" si="7"/>
        <v>1.3161106464131605E-3</v>
      </c>
      <c r="I158" s="5">
        <f t="shared" si="6"/>
        <v>108490</v>
      </c>
    </row>
    <row r="159" spans="1:9" x14ac:dyDescent="0.35">
      <c r="A159" s="2" t="s">
        <v>35</v>
      </c>
      <c r="B159" s="2" t="s">
        <v>11</v>
      </c>
      <c r="C159" s="7">
        <v>40640133</v>
      </c>
      <c r="D159" s="7">
        <v>40640133</v>
      </c>
      <c r="E159" s="7">
        <v>654344</v>
      </c>
      <c r="F159" s="7">
        <v>389178</v>
      </c>
      <c r="G159" s="7">
        <v>82323788</v>
      </c>
      <c r="H159" s="4">
        <f t="shared" si="7"/>
        <v>1.2147157123683896E-8</v>
      </c>
      <c r="I159" s="5">
        <f t="shared" si="6"/>
        <v>1</v>
      </c>
    </row>
    <row r="160" spans="1:9" x14ac:dyDescent="0.35">
      <c r="A160" t="s">
        <v>12</v>
      </c>
      <c r="B160" t="s">
        <v>12</v>
      </c>
      <c r="H160" s="3" t="str">
        <f t="shared" si="7"/>
        <v/>
      </c>
      <c r="I160" s="5" t="str">
        <f t="shared" si="6"/>
        <v/>
      </c>
    </row>
    <row r="161" spans="1:9" x14ac:dyDescent="0.35">
      <c r="A161" t="s">
        <v>13</v>
      </c>
      <c r="B161" t="s">
        <v>12</v>
      </c>
      <c r="H161" s="3" t="str">
        <f t="shared" si="7"/>
        <v/>
      </c>
      <c r="I161" s="5" t="str">
        <f t="shared" si="6"/>
        <v/>
      </c>
    </row>
    <row r="162" spans="1:9" x14ac:dyDescent="0.35">
      <c r="A162" t="s">
        <v>12</v>
      </c>
      <c r="B162" t="s">
        <v>12</v>
      </c>
      <c r="H162" s="3" t="str">
        <f t="shared" si="7"/>
        <v/>
      </c>
      <c r="I162" s="5" t="str">
        <f t="shared" ref="I162:I169" si="8">IF(A162=A161,G161-G162,"")</f>
        <v/>
      </c>
    </row>
    <row r="163" spans="1:9" x14ac:dyDescent="0.35">
      <c r="A163" s="1" t="s">
        <v>36</v>
      </c>
      <c r="B163" s="1" t="s">
        <v>8</v>
      </c>
      <c r="C163" s="6">
        <v>75756943</v>
      </c>
      <c r="D163" s="6">
        <v>75756943</v>
      </c>
      <c r="E163" s="6">
        <v>4109218</v>
      </c>
      <c r="F163" s="6">
        <v>777211</v>
      </c>
      <c r="G163" s="6">
        <v>156400315</v>
      </c>
      <c r="H163" s="3" t="str">
        <f t="shared" si="7"/>
        <v/>
      </c>
      <c r="I163" s="5" t="str">
        <f t="shared" si="8"/>
        <v/>
      </c>
    </row>
    <row r="164" spans="1:9" x14ac:dyDescent="0.35">
      <c r="A164" s="2" t="s">
        <v>36</v>
      </c>
      <c r="B164" s="2" t="s">
        <v>9</v>
      </c>
      <c r="C164" s="7">
        <v>72425756</v>
      </c>
      <c r="D164" s="7">
        <v>72425756</v>
      </c>
      <c r="E164" s="7">
        <v>4024076</v>
      </c>
      <c r="F164" s="7">
        <v>732939</v>
      </c>
      <c r="G164" s="7">
        <v>149608527</v>
      </c>
      <c r="H164" s="3">
        <f t="shared" si="7"/>
        <v>4.3425667013522316E-2</v>
      </c>
      <c r="I164" s="5">
        <f t="shared" si="8"/>
        <v>6791788</v>
      </c>
    </row>
    <row r="165" spans="1:9" x14ac:dyDescent="0.35">
      <c r="A165" s="1" t="s">
        <v>36</v>
      </c>
      <c r="B165" s="1" t="s">
        <v>10</v>
      </c>
      <c r="C165" s="6">
        <v>72414196</v>
      </c>
      <c r="D165" s="6">
        <v>72414196</v>
      </c>
      <c r="E165" s="6">
        <v>4023562</v>
      </c>
      <c r="F165" s="6">
        <v>732555</v>
      </c>
      <c r="G165" s="6">
        <v>149584509</v>
      </c>
      <c r="H165" s="3">
        <f t="shared" si="7"/>
        <v>1.6053897783513369E-4</v>
      </c>
      <c r="I165" s="5">
        <f t="shared" si="8"/>
        <v>24018</v>
      </c>
    </row>
    <row r="166" spans="1:9" x14ac:dyDescent="0.35">
      <c r="A166" s="2" t="s">
        <v>36</v>
      </c>
      <c r="B166" s="2" t="s">
        <v>11</v>
      </c>
      <c r="C166" s="7">
        <v>72414196</v>
      </c>
      <c r="D166" s="7">
        <v>72414196</v>
      </c>
      <c r="E166" s="7">
        <v>4023562</v>
      </c>
      <c r="F166" s="7">
        <v>732555</v>
      </c>
      <c r="G166" s="7">
        <v>149584509</v>
      </c>
      <c r="H166" s="3">
        <f t="shared" si="7"/>
        <v>0</v>
      </c>
      <c r="I166" s="5">
        <f t="shared" si="8"/>
        <v>0</v>
      </c>
    </row>
    <row r="167" spans="1:9" x14ac:dyDescent="0.35">
      <c r="A167" t="s">
        <v>12</v>
      </c>
      <c r="B167" t="s">
        <v>12</v>
      </c>
      <c r="H167" s="3" t="str">
        <f t="shared" si="7"/>
        <v/>
      </c>
      <c r="I167" s="5" t="str">
        <f t="shared" si="8"/>
        <v/>
      </c>
    </row>
    <row r="168" spans="1:9" x14ac:dyDescent="0.35">
      <c r="A168" t="s">
        <v>13</v>
      </c>
      <c r="B168" t="s">
        <v>12</v>
      </c>
      <c r="H168" s="3" t="str">
        <f t="shared" si="7"/>
        <v/>
      </c>
      <c r="I168" s="5" t="str">
        <f t="shared" si="8"/>
        <v/>
      </c>
    </row>
    <row r="169" spans="1:9" x14ac:dyDescent="0.35">
      <c r="A169" t="s">
        <v>12</v>
      </c>
      <c r="B169" t="s">
        <v>12</v>
      </c>
      <c r="H169" s="3" t="str">
        <f t="shared" si="7"/>
        <v/>
      </c>
      <c r="I169" s="5" t="str">
        <f t="shared" si="8"/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DE26-F991-4ACB-B694-03255D246D7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25F7E0-FD22-4B13-B538-77F832AF1D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read_counts_decontamination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Barrere</dc:creator>
  <cp:lastModifiedBy>Alexis Barrere</cp:lastModifiedBy>
  <dcterms:created xsi:type="dcterms:W3CDTF">2025-06-12T07:46:44Z</dcterms:created>
  <dcterms:modified xsi:type="dcterms:W3CDTF">2025-06-18T08:19:05Z</dcterms:modified>
</cp:coreProperties>
</file>